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j\Desktop\♥♥능개원 보수교육 실습\"/>
    </mc:Choice>
  </mc:AlternateContent>
  <bookViews>
    <workbookView xWindow="0" yWindow="0" windowWidth="28800" windowHeight="12255"/>
  </bookViews>
  <sheets>
    <sheet name="재직증명서" sheetId="1" r:id="rId1"/>
    <sheet name="인사기록부" sheetId="2" r:id="rId2"/>
  </sheets>
  <definedNames>
    <definedName name="_xlnm.Print_Area" localSheetId="0">재직증명서!$A$3:$L$25</definedName>
    <definedName name="사번">인사기록부!$A$3:$A$11</definedName>
    <definedName name="소속">인사기록부!$D$3:$D$11</definedName>
    <definedName name="이름">인사기록부!$B$3:$B$11</definedName>
    <definedName name="입사일">인사기록부!$F$3:$F$11</definedName>
    <definedName name="주민등록번호">인사기록부!$C$3:$C$11</definedName>
    <definedName name="주소">인사기록부!$I$3:$I$11</definedName>
    <definedName name="직위">인사기록부!$E$3:$E$11</definedName>
    <definedName name="퇴사일">인사기록부!$G$3:$G$11</definedName>
    <definedName name="학력">인사기록부!$H$3:$H$11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I13" i="1" s="1"/>
  <c r="D10" i="1"/>
  <c r="B13" i="1" s="1"/>
  <c r="I8" i="1"/>
  <c r="D9" i="1"/>
  <c r="D8" i="1"/>
  <c r="I7" i="1"/>
  <c r="D7" i="1"/>
  <c r="G13" i="1" l="1"/>
  <c r="D11" i="1"/>
  <c r="B19" i="1" l="1"/>
</calcChain>
</file>

<file path=xl/sharedStrings.xml><?xml version="1.0" encoding="utf-8"?>
<sst xmlns="http://schemas.openxmlformats.org/spreadsheetml/2006/main" count="96" uniqueCount="83">
  <si>
    <t>사번입력</t>
    <phoneticPr fontId="1" type="noConversion"/>
  </si>
  <si>
    <t>재직(경력)증명서</t>
    <phoneticPr fontId="1" type="noConversion"/>
  </si>
  <si>
    <t>이름</t>
    <phoneticPr fontId="1" type="noConversion"/>
  </si>
  <si>
    <t>소속</t>
    <phoneticPr fontId="1" type="noConversion"/>
  </si>
  <si>
    <t>주소</t>
    <phoneticPr fontId="1" type="noConversion"/>
  </si>
  <si>
    <t>기간</t>
    <phoneticPr fontId="1" type="noConversion"/>
  </si>
  <si>
    <t>주민등록번호</t>
    <phoneticPr fontId="1" type="noConversion"/>
  </si>
  <si>
    <t>직위</t>
    <phoneticPr fontId="1" type="noConversion"/>
  </si>
  <si>
    <t>용도</t>
    <phoneticPr fontId="1" type="noConversion"/>
  </si>
  <si>
    <t>회사명</t>
    <phoneticPr fontId="1" type="noConversion"/>
  </si>
  <si>
    <t>대표이사</t>
    <phoneticPr fontId="1" type="noConversion"/>
  </si>
  <si>
    <t>충남 천안시 능력개발로 123</t>
    <phoneticPr fontId="1" type="noConversion"/>
  </si>
  <si>
    <t>엑셀능력개발원</t>
    <phoneticPr fontId="1" type="noConversion"/>
  </si>
  <si>
    <t>김 엑 셀 (인)</t>
    <phoneticPr fontId="1" type="noConversion"/>
  </si>
  <si>
    <t xml:space="preserve">인  사  기  록  부   </t>
    <phoneticPr fontId="3" type="noConversion"/>
  </si>
  <si>
    <t>사번</t>
    <phoneticPr fontId="3" type="noConversion"/>
  </si>
  <si>
    <t>이름</t>
    <phoneticPr fontId="3" type="noConversion"/>
  </si>
  <si>
    <t>주민등록번호</t>
    <phoneticPr fontId="3" type="noConversion"/>
  </si>
  <si>
    <t>소속</t>
    <phoneticPr fontId="3" type="noConversion"/>
  </si>
  <si>
    <t>직위</t>
    <phoneticPr fontId="3" type="noConversion"/>
  </si>
  <si>
    <t>입사일</t>
    <phoneticPr fontId="3" type="noConversion"/>
  </si>
  <si>
    <t>퇴사일</t>
    <phoneticPr fontId="3" type="noConversion"/>
  </si>
  <si>
    <t>학력</t>
    <phoneticPr fontId="3" type="noConversion"/>
  </si>
  <si>
    <t>주소</t>
    <phoneticPr fontId="3" type="noConversion"/>
  </si>
  <si>
    <t>HRD-01</t>
    <phoneticPr fontId="3" type="noConversion"/>
  </si>
  <si>
    <t>김능력</t>
    <phoneticPr fontId="3" type="noConversion"/>
  </si>
  <si>
    <t>111111-1111111</t>
    <phoneticPr fontId="3" type="noConversion"/>
  </si>
  <si>
    <t>총무부</t>
    <phoneticPr fontId="3" type="noConversion"/>
  </si>
  <si>
    <t>대리</t>
    <phoneticPr fontId="3" type="noConversion"/>
  </si>
  <si>
    <t>현재</t>
    <phoneticPr fontId="3" type="noConversion"/>
  </si>
  <si>
    <t>대졸</t>
    <phoneticPr fontId="3" type="noConversion"/>
  </si>
  <si>
    <t>경기도 성남시 분당구 분당동 1</t>
    <phoneticPr fontId="3" type="noConversion"/>
  </si>
  <si>
    <t>HRD-02</t>
  </si>
  <si>
    <t>이능력</t>
    <phoneticPr fontId="3" type="noConversion"/>
  </si>
  <si>
    <t>222222-2222222</t>
    <phoneticPr fontId="3" type="noConversion"/>
  </si>
  <si>
    <t>영업부</t>
    <phoneticPr fontId="3" type="noConversion"/>
  </si>
  <si>
    <t>과장</t>
    <phoneticPr fontId="3" type="noConversion"/>
  </si>
  <si>
    <t>고졸</t>
    <phoneticPr fontId="3" type="noConversion"/>
  </si>
  <si>
    <t>서울특별시 도봉구 방학동 1</t>
    <phoneticPr fontId="3" type="noConversion"/>
  </si>
  <si>
    <t>HRD-03</t>
  </si>
  <si>
    <t>김두배</t>
    <phoneticPr fontId="3" type="noConversion"/>
  </si>
  <si>
    <t>333333-3333333</t>
    <phoneticPr fontId="3" type="noConversion"/>
  </si>
  <si>
    <t>기획부</t>
    <phoneticPr fontId="3" type="noConversion"/>
  </si>
  <si>
    <t>사원</t>
    <phoneticPr fontId="3" type="noConversion"/>
  </si>
  <si>
    <t>현재</t>
    <phoneticPr fontId="1" type="noConversion"/>
  </si>
  <si>
    <t>전문대졸</t>
    <phoneticPr fontId="3" type="noConversion"/>
  </si>
  <si>
    <t>서울특별시 서초구 서초동 1</t>
    <phoneticPr fontId="3" type="noConversion"/>
  </si>
  <si>
    <t>HRD-04</t>
  </si>
  <si>
    <t>한능력</t>
    <phoneticPr fontId="3" type="noConversion"/>
  </si>
  <si>
    <t>444444-4444444</t>
    <phoneticPr fontId="3" type="noConversion"/>
  </si>
  <si>
    <t>전산실</t>
    <phoneticPr fontId="3" type="noConversion"/>
  </si>
  <si>
    <t>서울특별시 은평구 불광동 1</t>
    <phoneticPr fontId="1" type="noConversion"/>
  </si>
  <si>
    <t>HRD-05</t>
  </si>
  <si>
    <t>오능력</t>
    <phoneticPr fontId="3" type="noConversion"/>
  </si>
  <si>
    <t>555555-5555555</t>
    <phoneticPr fontId="3" type="noConversion"/>
  </si>
  <si>
    <t>총무부</t>
  </si>
  <si>
    <t>부장</t>
    <phoneticPr fontId="3" type="noConversion"/>
  </si>
  <si>
    <t>경기도 고양시 일산구 일산동 1</t>
    <phoneticPr fontId="3" type="noConversion"/>
  </si>
  <si>
    <t>HRD-06</t>
  </si>
  <si>
    <t>박세배</t>
    <phoneticPr fontId="1" type="noConversion"/>
  </si>
  <si>
    <t>901111-2222222</t>
    <phoneticPr fontId="1" type="noConversion"/>
  </si>
  <si>
    <t>영업부</t>
  </si>
  <si>
    <t>고졸</t>
    <phoneticPr fontId="1" type="noConversion"/>
  </si>
  <si>
    <t>서울특별시 성북구 길음동 1</t>
    <phoneticPr fontId="3" type="noConversion"/>
  </si>
  <si>
    <t>HRD-07</t>
  </si>
  <si>
    <t>조아라</t>
    <phoneticPr fontId="1" type="noConversion"/>
  </si>
  <si>
    <t>880123-1234567</t>
    <phoneticPr fontId="1" type="noConversion"/>
  </si>
  <si>
    <t>홍보부</t>
  </si>
  <si>
    <t>대졸</t>
    <phoneticPr fontId="1" type="noConversion"/>
  </si>
  <si>
    <t>서울특별시 도봉구 창동 1</t>
    <phoneticPr fontId="3" type="noConversion"/>
  </si>
  <si>
    <t>HRD-08</t>
  </si>
  <si>
    <t>김세배</t>
    <phoneticPr fontId="1" type="noConversion"/>
  </si>
  <si>
    <t>991225-2121212</t>
    <phoneticPr fontId="1" type="noConversion"/>
  </si>
  <si>
    <t>전산실</t>
  </si>
  <si>
    <t>서울특별시 은평구 불광동 5</t>
    <phoneticPr fontId="1" type="noConversion"/>
  </si>
  <si>
    <t>HRD-09</t>
  </si>
  <si>
    <t>이두배</t>
    <phoneticPr fontId="1" type="noConversion"/>
  </si>
  <si>
    <t>770707-1777777</t>
    <phoneticPr fontId="1" type="noConversion"/>
  </si>
  <si>
    <t>기획실</t>
  </si>
  <si>
    <t>차장</t>
    <phoneticPr fontId="1" type="noConversion"/>
  </si>
  <si>
    <t>서울특별시 강서구 방화동 1</t>
    <phoneticPr fontId="3" type="noConversion"/>
  </si>
  <si>
    <t>재직 증명</t>
  </si>
  <si>
    <t>근무기간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</si>
</sst>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&quot;년&quot;\ mm&quot;월&quot;\ dd&quot;일&quot;&quot;부&quot;&quot;터&quot;"/>
    <numFmt numFmtId="177" formatCode="yyyy&quot;년&quot;\ mm&quot;월&quot;\ dd&quot;일&quot;&quot;까&quot;&quot;지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name val="돋움"/>
      <family val="3"/>
      <charset val="129"/>
    </font>
    <font>
      <sz val="8"/>
      <name val="돋움"/>
      <family val="3"/>
      <charset val="129"/>
    </font>
    <font>
      <b/>
      <sz val="10"/>
      <name val="돋움"/>
      <family val="3"/>
      <charset val="129"/>
    </font>
    <font>
      <sz val="10"/>
      <name val="굴림"/>
      <family val="3"/>
      <charset val="129"/>
    </font>
    <font>
      <sz val="10"/>
      <name val="돋움"/>
      <family val="3"/>
      <charset val="129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12" fillId="0" borderId="4" xfId="0" applyNumberFormat="1" applyFont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distributed" vertical="center" indent="1"/>
    </xf>
    <xf numFmtId="0" fontId="11" fillId="0" borderId="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0" xfId="0" applyFont="1" applyBorder="1" applyAlignment="1">
      <alignment horizontal="distributed" vertical="center" indent="1"/>
    </xf>
    <xf numFmtId="31" fontId="10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distributed" vertical="center" indent="2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distributed" vertical="center" indent="10"/>
    </xf>
    <xf numFmtId="0" fontId="2" fillId="2" borderId="1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L25"/>
  <sheetViews>
    <sheetView tabSelected="1" workbookViewId="0">
      <selection activeCell="Q8" sqref="Q8"/>
    </sheetView>
  </sheetViews>
  <sheetFormatPr defaultRowHeight="16.5" x14ac:dyDescent="0.3"/>
  <cols>
    <col min="1" max="1" width="1.625" customWidth="1"/>
    <col min="2" max="11" width="9.125" customWidth="1"/>
    <col min="12" max="12" width="1.625" customWidth="1"/>
  </cols>
  <sheetData>
    <row r="2" spans="1:12" ht="17.25" thickBot="1" x14ac:dyDescent="0.35">
      <c r="B2" s="42" t="s">
        <v>0</v>
      </c>
      <c r="C2" s="42"/>
      <c r="D2" s="42" t="s">
        <v>39</v>
      </c>
      <c r="E2" s="42"/>
    </row>
    <row r="3" spans="1:12" ht="42.75" customHeight="1" x14ac:dyDescent="0.3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5"/>
    </row>
    <row r="4" spans="1:12" ht="27.95" customHeight="1" x14ac:dyDescent="0.3">
      <c r="A4" s="16"/>
      <c r="B4" s="43" t="s">
        <v>1</v>
      </c>
      <c r="C4" s="43"/>
      <c r="D4" s="43"/>
      <c r="E4" s="43"/>
      <c r="F4" s="43"/>
      <c r="G4" s="43"/>
      <c r="H4" s="43"/>
      <c r="I4" s="43"/>
      <c r="J4" s="43"/>
      <c r="K4" s="43"/>
      <c r="L4" s="17"/>
    </row>
    <row r="5" spans="1:12" ht="27.95" customHeight="1" x14ac:dyDescent="0.3">
      <c r="A5" s="16"/>
      <c r="B5" s="18"/>
      <c r="C5" s="18"/>
      <c r="D5" s="18"/>
      <c r="E5" s="18"/>
      <c r="F5" s="18"/>
      <c r="G5" s="18"/>
      <c r="H5" s="18"/>
      <c r="I5" s="18"/>
      <c r="J5" s="18"/>
      <c r="K5" s="18"/>
      <c r="L5" s="17"/>
    </row>
    <row r="6" spans="1:12" ht="27.95" customHeight="1" x14ac:dyDescent="0.3">
      <c r="A6" s="16"/>
      <c r="B6" s="18"/>
      <c r="C6" s="18"/>
      <c r="D6" s="18"/>
      <c r="E6" s="18"/>
      <c r="F6" s="18"/>
      <c r="G6" s="18"/>
      <c r="H6" s="18"/>
      <c r="I6" s="18"/>
      <c r="J6" s="18"/>
      <c r="K6" s="18"/>
      <c r="L6" s="17"/>
    </row>
    <row r="7" spans="1:12" ht="47.25" customHeight="1" x14ac:dyDescent="0.3">
      <c r="A7" s="16"/>
      <c r="B7" s="31" t="s">
        <v>2</v>
      </c>
      <c r="C7" s="31"/>
      <c r="D7" s="25" t="str">
        <f>LOOKUP(D2, 사번, 이름)</f>
        <v>김두배</v>
      </c>
      <c r="E7" s="25"/>
      <c r="F7" s="25"/>
      <c r="G7" s="31" t="s">
        <v>6</v>
      </c>
      <c r="H7" s="31"/>
      <c r="I7" s="25" t="str">
        <f>LOOKUP( D2, 사번, 주민등록번호)</f>
        <v>333333-3333333</v>
      </c>
      <c r="J7" s="25"/>
      <c r="K7" s="25"/>
      <c r="L7" s="17"/>
    </row>
    <row r="8" spans="1:12" ht="47.25" customHeight="1" x14ac:dyDescent="0.3">
      <c r="A8" s="16"/>
      <c r="B8" s="31" t="s">
        <v>3</v>
      </c>
      <c r="C8" s="31"/>
      <c r="D8" s="25" t="str">
        <f>LOOKUP( D2, 사번, 소속)</f>
        <v>기획부</v>
      </c>
      <c r="E8" s="25"/>
      <c r="F8" s="25"/>
      <c r="G8" s="31" t="s">
        <v>7</v>
      </c>
      <c r="H8" s="31"/>
      <c r="I8" s="25" t="str">
        <f>LOOKUP( D2, 사번, 직위)</f>
        <v>사원</v>
      </c>
      <c r="J8" s="25"/>
      <c r="K8" s="25"/>
      <c r="L8" s="17"/>
    </row>
    <row r="9" spans="1:12" ht="47.25" customHeight="1" x14ac:dyDescent="0.3">
      <c r="A9" s="16"/>
      <c r="B9" s="31" t="s">
        <v>4</v>
      </c>
      <c r="C9" s="31"/>
      <c r="D9" s="33" t="str">
        <f>LOOKUP( D2, 사번, 주소)</f>
        <v>서울특별시 서초구 서초동 1</v>
      </c>
      <c r="E9" s="34"/>
      <c r="F9" s="34"/>
      <c r="G9" s="34"/>
      <c r="H9" s="34"/>
      <c r="I9" s="34"/>
      <c r="J9" s="34"/>
      <c r="K9" s="35"/>
      <c r="L9" s="17"/>
    </row>
    <row r="10" spans="1:12" ht="47.25" customHeight="1" x14ac:dyDescent="0.3">
      <c r="A10" s="16"/>
      <c r="B10" s="31" t="s">
        <v>5</v>
      </c>
      <c r="C10" s="31"/>
      <c r="D10" s="26">
        <f>LOOKUP( D2, 사번, 입사일 )</f>
        <v>44853</v>
      </c>
      <c r="E10" s="27"/>
      <c r="F10" s="27"/>
      <c r="G10" s="28"/>
      <c r="H10" s="24" t="str">
        <f>LOOKUP( D2, 사번, 퇴사일)</f>
        <v>현재</v>
      </c>
      <c r="I10" s="24"/>
      <c r="J10" s="24"/>
      <c r="K10" s="24"/>
      <c r="L10" s="17"/>
    </row>
    <row r="11" spans="1:12" ht="27.95" customHeight="1" x14ac:dyDescent="0.3">
      <c r="A11" s="16"/>
      <c r="B11" s="31" t="s">
        <v>82</v>
      </c>
      <c r="C11" s="31"/>
      <c r="D11" s="32" t="str">
        <f ca="1">IF( H10="현재", DATEDIF(D10, TODAY(), "y") &amp; "년 " &amp; DATEDIF(D10, TODAY(), "ym") &amp; "월 " &amp; DATEDIF( D10, TODAY(), "md") +1 &amp; "일",  DATEDIF( D10, H10, "y" ) &amp; "년 " &amp;  DATEDIF( D10, H10, "ym" ) &amp; "월 " &amp; DATEDIF(D10, H10, "md") +1 &amp; "일")</f>
        <v>1년 7월 5일</v>
      </c>
      <c r="E11" s="32"/>
      <c r="F11" s="32"/>
      <c r="G11" s="32"/>
      <c r="H11" s="32"/>
      <c r="I11" s="32"/>
      <c r="J11" s="32"/>
      <c r="K11" s="32"/>
      <c r="L11" s="17"/>
    </row>
    <row r="12" spans="1:12" ht="27.95" customHeight="1" x14ac:dyDescent="0.3">
      <c r="A12" s="16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7"/>
    </row>
    <row r="13" spans="1:12" ht="27.95" customHeight="1" x14ac:dyDescent="0.3">
      <c r="A13" s="16"/>
      <c r="B13" s="23" t="str">
        <f>"상기인은 " &amp; TEXT(D10, "yyyy년 mm월 dd일") &amp; "에 입사하여"</f>
        <v>상기인은 2022년 10월 19일에 입사하여</v>
      </c>
      <c r="C13" s="23"/>
      <c r="D13" s="23"/>
      <c r="E13" s="23"/>
      <c r="F13" s="23"/>
      <c r="G13" s="29" t="str">
        <f>H10</f>
        <v>현재</v>
      </c>
      <c r="H13" s="30"/>
      <c r="I13" s="23" t="str">
        <f>IF( H10="현재", "재직 중임을 증명합니다.", "재직하였음을 증명합니다.")</f>
        <v>재직 중임을 증명합니다.</v>
      </c>
      <c r="J13" s="23"/>
      <c r="K13" s="23"/>
      <c r="L13" s="17"/>
    </row>
    <row r="14" spans="1:12" ht="27.95" customHeight="1" x14ac:dyDescent="0.3">
      <c r="A14" s="16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7"/>
    </row>
    <row r="15" spans="1:12" ht="27.95" customHeight="1" x14ac:dyDescent="0.3">
      <c r="A15" s="16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7"/>
    </row>
    <row r="16" spans="1:12" ht="27.95" customHeight="1" x14ac:dyDescent="0.3">
      <c r="A16" s="16"/>
      <c r="B16" s="18"/>
      <c r="C16" s="36" t="s">
        <v>8</v>
      </c>
      <c r="D16" s="36"/>
      <c r="E16" s="41" t="s">
        <v>81</v>
      </c>
      <c r="F16" s="41"/>
      <c r="G16" s="22"/>
      <c r="H16" s="22"/>
      <c r="I16" s="22"/>
      <c r="J16" s="22"/>
      <c r="K16" s="22"/>
      <c r="L16" s="17"/>
    </row>
    <row r="17" spans="1:12" ht="27.95" customHeight="1" x14ac:dyDescent="0.3">
      <c r="A17" s="16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7"/>
    </row>
    <row r="18" spans="1:12" ht="27.95" customHeight="1" x14ac:dyDescent="0.3">
      <c r="A18" s="16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7"/>
    </row>
    <row r="19" spans="1:12" ht="27.95" customHeight="1" x14ac:dyDescent="0.3">
      <c r="A19" s="16"/>
      <c r="B19" s="37">
        <f ca="1">TODAY()</f>
        <v>45435</v>
      </c>
      <c r="C19" s="37"/>
      <c r="D19" s="37"/>
      <c r="E19" s="37"/>
      <c r="F19" s="37"/>
      <c r="G19" s="37"/>
      <c r="H19" s="37"/>
      <c r="I19" s="37"/>
      <c r="J19" s="37"/>
      <c r="K19" s="37"/>
      <c r="L19" s="17"/>
    </row>
    <row r="20" spans="1:12" ht="27.95" customHeight="1" x14ac:dyDescent="0.3">
      <c r="A20" s="16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7"/>
    </row>
    <row r="21" spans="1:12" ht="27.95" customHeight="1" x14ac:dyDescent="0.3">
      <c r="A21" s="16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7"/>
    </row>
    <row r="22" spans="1:12" ht="37.5" customHeight="1" x14ac:dyDescent="0.3">
      <c r="A22" s="16"/>
      <c r="B22" s="18"/>
      <c r="C22" s="38" t="s">
        <v>4</v>
      </c>
      <c r="D22" s="38"/>
      <c r="E22" s="38"/>
      <c r="F22" s="39" t="s">
        <v>11</v>
      </c>
      <c r="G22" s="39"/>
      <c r="H22" s="39"/>
      <c r="I22" s="39"/>
      <c r="J22" s="18"/>
      <c r="K22" s="18"/>
      <c r="L22" s="17"/>
    </row>
    <row r="23" spans="1:12" ht="37.5" customHeight="1" x14ac:dyDescent="0.3">
      <c r="A23" s="16"/>
      <c r="B23" s="18"/>
      <c r="C23" s="38" t="s">
        <v>9</v>
      </c>
      <c r="D23" s="38"/>
      <c r="E23" s="38"/>
      <c r="F23" s="39" t="s">
        <v>12</v>
      </c>
      <c r="G23" s="39"/>
      <c r="H23" s="39"/>
      <c r="I23" s="39"/>
      <c r="J23" s="18"/>
      <c r="K23" s="18"/>
      <c r="L23" s="17"/>
    </row>
    <row r="24" spans="1:12" ht="37.5" customHeight="1" x14ac:dyDescent="0.3">
      <c r="A24" s="16"/>
      <c r="B24" s="18"/>
      <c r="C24" s="38" t="s">
        <v>10</v>
      </c>
      <c r="D24" s="38"/>
      <c r="E24" s="38"/>
      <c r="F24" s="40" t="s">
        <v>13</v>
      </c>
      <c r="G24" s="40"/>
      <c r="H24" s="40"/>
      <c r="I24" s="40"/>
      <c r="J24" s="18"/>
      <c r="K24" s="18"/>
      <c r="L24" s="17"/>
    </row>
    <row r="25" spans="1:12" ht="27.95" customHeight="1" thickBot="1" x14ac:dyDescent="0.3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1"/>
    </row>
  </sheetData>
  <mergeCells count="30">
    <mergeCell ref="B2:C2"/>
    <mergeCell ref="B4:K4"/>
    <mergeCell ref="B7:C7"/>
    <mergeCell ref="B8:C8"/>
    <mergeCell ref="B9:C9"/>
    <mergeCell ref="G7:H7"/>
    <mergeCell ref="G8:H8"/>
    <mergeCell ref="I7:K7"/>
    <mergeCell ref="D7:F7"/>
    <mergeCell ref="D2:E2"/>
    <mergeCell ref="C16:D16"/>
    <mergeCell ref="B19:K19"/>
    <mergeCell ref="C22:E22"/>
    <mergeCell ref="C23:E23"/>
    <mergeCell ref="C24:E24"/>
    <mergeCell ref="F22:I22"/>
    <mergeCell ref="F23:I23"/>
    <mergeCell ref="F24:I24"/>
    <mergeCell ref="E16:F16"/>
    <mergeCell ref="I13:K13"/>
    <mergeCell ref="H10:K10"/>
    <mergeCell ref="I8:K8"/>
    <mergeCell ref="D10:G10"/>
    <mergeCell ref="B13:F13"/>
    <mergeCell ref="G13:H13"/>
    <mergeCell ref="B10:C10"/>
    <mergeCell ref="B11:C11"/>
    <mergeCell ref="D11:K11"/>
    <mergeCell ref="D8:F8"/>
    <mergeCell ref="D9:K9"/>
  </mergeCells>
  <phoneticPr fontId="1" type="noConversion"/>
  <dataValidations count="2">
    <dataValidation type="list" allowBlank="1" showInputMessage="1" showErrorMessage="1" errorTitle="사번 오류" error="사번이 올바르지 않습니다." sqref="D2:E2">
      <formula1>사번</formula1>
    </dataValidation>
    <dataValidation type="list" allowBlank="1" showInputMessage="1" showErrorMessage="1" sqref="E16">
      <formula1>"재직 증명,경력 확인, 은행 제출"</formula1>
    </dataValidation>
  </dataValidations>
  <pageMargins left="0.28999999999999998" right="0.25" top="0.74803149606299213" bottom="0.74803149606299213" header="0.31496062992125984" footer="0.31496062992125984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인쇄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"/>
  <sheetViews>
    <sheetView workbookViewId="0">
      <selection activeCell="C16" sqref="C16"/>
    </sheetView>
  </sheetViews>
  <sheetFormatPr defaultRowHeight="16.5" x14ac:dyDescent="0.3"/>
  <cols>
    <col min="3" max="3" width="15.25" customWidth="1"/>
    <col min="6" max="7" width="10.25" bestFit="1" customWidth="1"/>
    <col min="9" max="9" width="33.625" customWidth="1"/>
  </cols>
  <sheetData>
    <row r="1" spans="1:9" ht="20.25" x14ac:dyDescent="0.3">
      <c r="A1" s="44" t="s">
        <v>14</v>
      </c>
      <c r="B1" s="44"/>
      <c r="C1" s="44"/>
      <c r="D1" s="44"/>
      <c r="E1" s="44"/>
      <c r="F1" s="44"/>
      <c r="G1" s="44"/>
      <c r="H1" s="44"/>
      <c r="I1" s="44"/>
    </row>
    <row r="2" spans="1:9" x14ac:dyDescent="0.3">
      <c r="A2" s="1" t="s">
        <v>15</v>
      </c>
      <c r="B2" s="2" t="s">
        <v>16</v>
      </c>
      <c r="C2" s="3" t="s">
        <v>17</v>
      </c>
      <c r="D2" s="3" t="s">
        <v>18</v>
      </c>
      <c r="E2" s="3" t="s">
        <v>19</v>
      </c>
      <c r="F2" s="2" t="s">
        <v>20</v>
      </c>
      <c r="G2" s="4" t="s">
        <v>21</v>
      </c>
      <c r="H2" s="2" t="s">
        <v>22</v>
      </c>
      <c r="I2" s="3" t="s">
        <v>23</v>
      </c>
    </row>
    <row r="3" spans="1:9" x14ac:dyDescent="0.3">
      <c r="A3" s="5" t="s">
        <v>24</v>
      </c>
      <c r="B3" s="5" t="s">
        <v>25</v>
      </c>
      <c r="C3" s="5" t="s">
        <v>26</v>
      </c>
      <c r="D3" s="5" t="s">
        <v>27</v>
      </c>
      <c r="E3" s="5" t="s">
        <v>28</v>
      </c>
      <c r="F3" s="6">
        <v>42740</v>
      </c>
      <c r="G3" s="6" t="s">
        <v>29</v>
      </c>
      <c r="H3" s="5" t="s">
        <v>30</v>
      </c>
      <c r="I3" s="5" t="s">
        <v>31</v>
      </c>
    </row>
    <row r="4" spans="1:9" x14ac:dyDescent="0.3">
      <c r="A4" s="5" t="s">
        <v>32</v>
      </c>
      <c r="B4" s="5" t="s">
        <v>33</v>
      </c>
      <c r="C4" s="5" t="s">
        <v>34</v>
      </c>
      <c r="D4" s="5" t="s">
        <v>35</v>
      </c>
      <c r="E4" s="5" t="s">
        <v>36</v>
      </c>
      <c r="F4" s="6">
        <v>40096</v>
      </c>
      <c r="G4" s="6">
        <v>42022</v>
      </c>
      <c r="H4" s="5" t="s">
        <v>37</v>
      </c>
      <c r="I4" s="5" t="s">
        <v>38</v>
      </c>
    </row>
    <row r="5" spans="1:9" x14ac:dyDescent="0.3">
      <c r="A5" s="5" t="s">
        <v>39</v>
      </c>
      <c r="B5" s="5" t="s">
        <v>40</v>
      </c>
      <c r="C5" s="5" t="s">
        <v>41</v>
      </c>
      <c r="D5" s="5" t="s">
        <v>42</v>
      </c>
      <c r="E5" s="5" t="s">
        <v>43</v>
      </c>
      <c r="F5" s="6">
        <v>44853</v>
      </c>
      <c r="G5" s="6" t="s">
        <v>44</v>
      </c>
      <c r="H5" s="5" t="s">
        <v>45</v>
      </c>
      <c r="I5" s="5" t="s">
        <v>46</v>
      </c>
    </row>
    <row r="6" spans="1:9" x14ac:dyDescent="0.3">
      <c r="A6" s="5" t="s">
        <v>47</v>
      </c>
      <c r="B6" s="5" t="s">
        <v>48</v>
      </c>
      <c r="C6" s="5" t="s">
        <v>49</v>
      </c>
      <c r="D6" s="5" t="s">
        <v>50</v>
      </c>
      <c r="E6" s="5" t="s">
        <v>43</v>
      </c>
      <c r="F6" s="6">
        <v>45218</v>
      </c>
      <c r="G6" s="6" t="s">
        <v>29</v>
      </c>
      <c r="H6" s="5" t="s">
        <v>30</v>
      </c>
      <c r="I6" s="5" t="s">
        <v>51</v>
      </c>
    </row>
    <row r="7" spans="1:9" x14ac:dyDescent="0.3">
      <c r="A7" s="5" t="s">
        <v>52</v>
      </c>
      <c r="B7" s="5" t="s">
        <v>53</v>
      </c>
      <c r="C7" s="5" t="s">
        <v>54</v>
      </c>
      <c r="D7" s="5" t="s">
        <v>55</v>
      </c>
      <c r="E7" s="5" t="s">
        <v>56</v>
      </c>
      <c r="F7" s="6">
        <v>37288</v>
      </c>
      <c r="G7" s="6">
        <v>44844</v>
      </c>
      <c r="H7" s="5" t="s">
        <v>30</v>
      </c>
      <c r="I7" s="5" t="s">
        <v>57</v>
      </c>
    </row>
    <row r="8" spans="1:9" x14ac:dyDescent="0.3">
      <c r="A8" s="5" t="s">
        <v>58</v>
      </c>
      <c r="B8" s="5" t="s">
        <v>59</v>
      </c>
      <c r="C8" s="5" t="s">
        <v>60</v>
      </c>
      <c r="D8" s="5" t="s">
        <v>61</v>
      </c>
      <c r="E8" s="5" t="s">
        <v>28</v>
      </c>
      <c r="F8" s="6">
        <v>42068</v>
      </c>
      <c r="G8" s="6">
        <v>45056</v>
      </c>
      <c r="H8" s="5" t="s">
        <v>62</v>
      </c>
      <c r="I8" s="5" t="s">
        <v>63</v>
      </c>
    </row>
    <row r="9" spans="1:9" x14ac:dyDescent="0.3">
      <c r="A9" s="5" t="s">
        <v>64</v>
      </c>
      <c r="B9" s="5" t="s">
        <v>65</v>
      </c>
      <c r="C9" s="5" t="s">
        <v>66</v>
      </c>
      <c r="D9" s="5" t="s">
        <v>67</v>
      </c>
      <c r="E9" s="5" t="s">
        <v>36</v>
      </c>
      <c r="F9" s="6">
        <v>39670</v>
      </c>
      <c r="G9" s="6" t="s">
        <v>29</v>
      </c>
      <c r="H9" s="5" t="s">
        <v>68</v>
      </c>
      <c r="I9" s="5" t="s">
        <v>69</v>
      </c>
    </row>
    <row r="10" spans="1:9" x14ac:dyDescent="0.3">
      <c r="A10" s="5" t="s">
        <v>70</v>
      </c>
      <c r="B10" s="5" t="s">
        <v>71</v>
      </c>
      <c r="C10" s="5" t="s">
        <v>72</v>
      </c>
      <c r="D10" s="5" t="s">
        <v>73</v>
      </c>
      <c r="E10" s="5" t="s">
        <v>43</v>
      </c>
      <c r="F10" s="6">
        <v>44844</v>
      </c>
      <c r="G10" s="6">
        <v>45208</v>
      </c>
      <c r="H10" s="5" t="s">
        <v>68</v>
      </c>
      <c r="I10" s="5" t="s">
        <v>74</v>
      </c>
    </row>
    <row r="11" spans="1:9" x14ac:dyDescent="0.3">
      <c r="A11" s="5" t="s">
        <v>75</v>
      </c>
      <c r="B11" s="5" t="s">
        <v>76</v>
      </c>
      <c r="C11" s="5" t="s">
        <v>77</v>
      </c>
      <c r="D11" s="5" t="s">
        <v>78</v>
      </c>
      <c r="E11" s="5" t="s">
        <v>79</v>
      </c>
      <c r="F11" s="6">
        <v>37325</v>
      </c>
      <c r="G11" s="6" t="s">
        <v>29</v>
      </c>
      <c r="H11" s="5" t="s">
        <v>62</v>
      </c>
      <c r="I11" s="5" t="s">
        <v>80</v>
      </c>
    </row>
    <row r="12" spans="1:9" x14ac:dyDescent="0.3">
      <c r="A12" s="7"/>
      <c r="B12" s="8"/>
      <c r="C12" s="8"/>
      <c r="D12" s="8"/>
      <c r="E12" s="8"/>
      <c r="F12" s="8"/>
      <c r="G12" s="8"/>
      <c r="H12" s="8"/>
      <c r="I12" s="9"/>
    </row>
    <row r="13" spans="1:9" x14ac:dyDescent="0.3">
      <c r="A13" s="7"/>
      <c r="B13" s="8"/>
      <c r="C13" s="8"/>
      <c r="D13" s="8"/>
      <c r="E13" s="8"/>
      <c r="F13" s="8"/>
      <c r="G13" s="8"/>
      <c r="H13" s="8"/>
      <c r="I13" s="9"/>
    </row>
    <row r="14" spans="1:9" x14ac:dyDescent="0.3">
      <c r="A14" s="7"/>
      <c r="B14" s="8"/>
      <c r="C14" s="8"/>
      <c r="D14" s="8"/>
      <c r="E14" s="8"/>
      <c r="F14" s="8"/>
      <c r="G14" s="8"/>
      <c r="H14" s="8"/>
      <c r="I14" s="9"/>
    </row>
    <row r="15" spans="1:9" x14ac:dyDescent="0.3">
      <c r="A15" s="7"/>
      <c r="B15" s="8"/>
      <c r="C15" s="8"/>
      <c r="D15" s="8"/>
      <c r="E15" s="8"/>
      <c r="F15" s="8"/>
      <c r="G15" s="8"/>
      <c r="H15" s="8"/>
      <c r="I15" s="9"/>
    </row>
    <row r="16" spans="1:9" x14ac:dyDescent="0.3">
      <c r="A16" s="7"/>
      <c r="B16" s="8"/>
      <c r="C16" s="8"/>
      <c r="D16" s="8"/>
      <c r="E16" s="8"/>
      <c r="F16" s="8"/>
      <c r="G16" s="8"/>
      <c r="H16" s="8"/>
      <c r="I16" s="9"/>
    </row>
    <row r="17" spans="1:9" x14ac:dyDescent="0.3">
      <c r="A17" s="7"/>
      <c r="B17" s="8"/>
      <c r="C17" s="8"/>
      <c r="D17" s="8"/>
      <c r="E17" s="8"/>
      <c r="F17" s="8"/>
      <c r="G17" s="8"/>
      <c r="H17" s="8"/>
      <c r="I17" s="9"/>
    </row>
    <row r="18" spans="1:9" x14ac:dyDescent="0.3">
      <c r="A18" s="7"/>
      <c r="B18" s="8"/>
      <c r="C18" s="8"/>
      <c r="D18" s="8"/>
      <c r="E18" s="8"/>
      <c r="F18" s="8"/>
      <c r="G18" s="8"/>
      <c r="H18" s="8"/>
      <c r="I18" s="9"/>
    </row>
    <row r="19" spans="1:9" x14ac:dyDescent="0.3">
      <c r="A19" s="7"/>
      <c r="B19" s="8"/>
      <c r="C19" s="8"/>
      <c r="D19" s="8"/>
      <c r="E19" s="8"/>
      <c r="F19" s="8"/>
      <c r="G19" s="8"/>
      <c r="H19" s="8"/>
      <c r="I19" s="9"/>
    </row>
    <row r="20" spans="1:9" x14ac:dyDescent="0.3">
      <c r="A20" s="10"/>
      <c r="B20" s="11"/>
      <c r="C20" s="11"/>
      <c r="D20" s="11"/>
      <c r="E20" s="11"/>
      <c r="F20" s="11"/>
      <c r="G20" s="11"/>
      <c r="H20" s="11"/>
      <c r="I20" s="9"/>
    </row>
    <row r="21" spans="1:9" x14ac:dyDescent="0.3">
      <c r="I21" s="12"/>
    </row>
  </sheetData>
  <mergeCells count="1">
    <mergeCell ref="A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10</vt:i4>
      </vt:variant>
    </vt:vector>
  </HeadingPairs>
  <TitlesOfParts>
    <vt:vector size="12" baseType="lpstr">
      <vt:lpstr>재직증명서</vt:lpstr>
      <vt:lpstr>인사기록부</vt:lpstr>
      <vt:lpstr>재직증명서!Print_Area</vt:lpstr>
      <vt:lpstr>사번</vt:lpstr>
      <vt:lpstr>소속</vt:lpstr>
      <vt:lpstr>이름</vt:lpstr>
      <vt:lpstr>입사일</vt:lpstr>
      <vt:lpstr>주민등록번호</vt:lpstr>
      <vt:lpstr>주소</vt:lpstr>
      <vt:lpstr>직위</vt:lpstr>
      <vt:lpstr>퇴사일</vt:lpstr>
      <vt:lpstr>학력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kj</cp:lastModifiedBy>
  <cp:lastPrinted>2024-05-23T02:55:11Z</cp:lastPrinted>
  <dcterms:created xsi:type="dcterms:W3CDTF">2024-03-15T23:48:50Z</dcterms:created>
  <dcterms:modified xsi:type="dcterms:W3CDTF">2024-05-23T02:55:30Z</dcterms:modified>
</cp:coreProperties>
</file>