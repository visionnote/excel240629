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2A073FD8-70A5-4212-BA76-7AB7EB8010B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일자전체">OFFSET(훈련일지서식!$K$6, 0, 0, COUNTA(훈련일지서식!$K:$K), 3 )</definedName>
    <definedName name="일차">OFFSET(훈련일지서식!$K$6, 0,0, COUNTA(훈련일지서식!$K:$K), 1 )</definedName>
    <definedName name="전자전체">OFFSET( 전자시간표!$A$3, 0, 0, COUNTA(전자시간표!$A:$A)-2, 9)</definedName>
    <definedName name="전자훈련일">OFFSET(전자시간표!$A$3, 0,0, COUNTA(전자시간표!$A:$A)-2, 1)</definedName>
    <definedName name="참조">훈련시간표!$B$3:$Y$12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6" l="1"/>
  <c r="C9" i="6"/>
  <c r="B16" i="6" s="1" a="1"/>
  <c r="B16" i="6" s="1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6" i="6"/>
  <c r="C3" i="5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15" i="6" l="1" a="1"/>
  <c r="B15" i="6" s="1"/>
  <c r="P18" i="6" a="1"/>
  <c r="P18" i="6" s="1"/>
  <c r="Q18" i="6" s="1" a="1"/>
  <c r="Q18" i="6" s="1"/>
  <c r="E18" i="6" s="1" a="1"/>
  <c r="E18" i="6" s="1"/>
  <c r="P15" i="6" a="1"/>
  <c r="P15" i="6" s="1"/>
  <c r="Q15" i="6" s="1" a="1"/>
  <c r="Q15" i="6" s="1"/>
  <c r="E15" i="6" s="1" a="1"/>
  <c r="E15" i="6" s="1"/>
  <c r="P16" i="6" a="1"/>
  <c r="P16" i="6" s="1"/>
  <c r="P17" i="6" a="1"/>
  <c r="P17" i="6" s="1"/>
  <c r="D16" i="6" a="1"/>
  <c r="D16" i="6" s="1"/>
  <c r="B18" i="6" a="1"/>
  <c r="B18" i="6" s="1"/>
  <c r="D18" i="6" a="1"/>
  <c r="D18" i="6" s="1"/>
  <c r="B17" i="6" a="1"/>
  <c r="B17" i="6" s="1"/>
  <c r="D17" i="6" a="1"/>
  <c r="D17" i="6" s="1"/>
  <c r="D15" i="6" a="1"/>
  <c r="D15" i="6" s="1"/>
  <c r="B2" i="5"/>
  <c r="V2" i="5"/>
  <c r="L2" i="5"/>
  <c r="Q17" i="6" l="1" a="1"/>
  <c r="Q17" i="6" s="1"/>
  <c r="E17" i="6" s="1" a="1"/>
  <c r="E17" i="6" s="1"/>
  <c r="Q16" i="6" a="1"/>
  <c r="Q16" i="6" s="1"/>
  <c r="E16" i="6" s="1" a="1"/>
  <c r="E16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<sst xmlns="http://schemas.openxmlformats.org/spreadsheetml/2006/main" count="1521" uniqueCount="127">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</sst>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8">
    <xf numFmtId="0" fontId="0" fillId="0" borderId="0" xfId="0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Q38"/>
  <sheetViews>
    <sheetView tabSelected="1" zoomScale="69" zoomScaleNormal="69" workbookViewId="0">
      <selection activeCell="U9" sqref="U9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  <col min="11" max="12" width="9" customWidth="1"/>
    <col min="13" max="13" width="12.5" customWidth="1"/>
    <col min="16" max="17" width="9" customWidth="1"/>
  </cols>
  <sheetData>
    <row r="2" spans="1:17" x14ac:dyDescent="0.3">
      <c r="D2" s="27" t="s">
        <v>0</v>
      </c>
      <c r="E2">
        <v>1</v>
      </c>
    </row>
    <row r="5" spans="1:17" ht="39" x14ac:dyDescent="0.3">
      <c r="A5" s="49" t="s">
        <v>16</v>
      </c>
      <c r="B5" s="49"/>
      <c r="C5" s="49"/>
      <c r="D5" s="49"/>
      <c r="E5" s="49"/>
      <c r="F5" s="49"/>
      <c r="G5" s="49"/>
      <c r="H5" s="49"/>
    </row>
    <row r="6" spans="1:17" ht="24.75" customHeight="1" x14ac:dyDescent="0.3">
      <c r="K6">
        <v>1</v>
      </c>
      <c r="L6" s="19" t="s">
        <v>66</v>
      </c>
      <c r="M6" s="28">
        <f>DATE( LEFT( L6, 4 ), MID( L6, 5, 2), RIGHT( L6, 2 ) )</f>
        <v>44880</v>
      </c>
    </row>
    <row r="7" spans="1:17" ht="32.25" customHeight="1" x14ac:dyDescent="0.3">
      <c r="A7" s="50" t="s">
        <v>1</v>
      </c>
      <c r="B7" s="50"/>
      <c r="C7" s="50" t="s">
        <v>3</v>
      </c>
      <c r="D7" s="50"/>
      <c r="E7" s="50"/>
      <c r="F7" s="29"/>
      <c r="G7" s="29"/>
      <c r="H7" s="29"/>
      <c r="K7">
        <v>2</v>
      </c>
      <c r="L7" s="20" t="s">
        <v>67</v>
      </c>
      <c r="M7" s="28">
        <f t="shared" ref="M7:M38" si="0">DATE( LEFT( L7, 4 ), MID( L7, 5, 2), RIGHT( L7, 2 ) )</f>
        <v>44881</v>
      </c>
    </row>
    <row r="8" spans="1:17" ht="45" customHeight="1" x14ac:dyDescent="0.3">
      <c r="A8" s="50" t="s">
        <v>2</v>
      </c>
      <c r="B8" s="50"/>
      <c r="C8" s="50" t="s">
        <v>4</v>
      </c>
      <c r="D8" s="50"/>
      <c r="E8" s="50"/>
      <c r="F8" s="29"/>
      <c r="G8" s="29"/>
      <c r="H8" s="29"/>
      <c r="K8">
        <v>3</v>
      </c>
      <c r="L8" s="20" t="s">
        <v>68</v>
      </c>
      <c r="M8" s="28">
        <f t="shared" si="0"/>
        <v>44882</v>
      </c>
    </row>
    <row r="9" spans="1:17" ht="32.25" customHeight="1" x14ac:dyDescent="0.3">
      <c r="A9" s="50" t="s">
        <v>17</v>
      </c>
      <c r="B9" s="50"/>
      <c r="C9" s="51">
        <f ca="1">IF( ISBLANK( E2 ), "", VLOOKUP( E2, 일자전체, 3, 0 ) )</f>
        <v>44880</v>
      </c>
      <c r="D9" s="51"/>
      <c r="E9" s="51"/>
      <c r="F9" s="29" t="str">
        <f>"( " &amp; E2 &amp; "일차 )"</f>
        <v>( 1일차 )</v>
      </c>
      <c r="G9" s="29"/>
      <c r="H9" s="29"/>
      <c r="K9">
        <v>4</v>
      </c>
      <c r="L9" s="20" t="s">
        <v>69</v>
      </c>
      <c r="M9" s="28">
        <f t="shared" si="0"/>
        <v>44883</v>
      </c>
    </row>
    <row r="10" spans="1:17" ht="20.25" customHeight="1" x14ac:dyDescent="0.3">
      <c r="A10" s="29"/>
      <c r="B10" s="29"/>
      <c r="C10" s="29"/>
      <c r="D10" s="29"/>
      <c r="E10" s="29"/>
      <c r="F10" s="29"/>
      <c r="G10" s="29"/>
      <c r="H10" s="29"/>
      <c r="K10">
        <v>5</v>
      </c>
      <c r="L10" s="20" t="s">
        <v>70</v>
      </c>
      <c r="M10" s="28">
        <f t="shared" si="0"/>
        <v>44886</v>
      </c>
    </row>
    <row r="11" spans="1:17" ht="20.25" customHeight="1" x14ac:dyDescent="0.3">
      <c r="A11" s="29"/>
      <c r="B11" s="29"/>
      <c r="C11" s="29"/>
      <c r="D11" s="29"/>
      <c r="E11" s="29"/>
      <c r="F11" s="29"/>
      <c r="G11" s="29"/>
      <c r="H11" s="29"/>
      <c r="K11">
        <v>6</v>
      </c>
      <c r="L11" s="20" t="s">
        <v>71</v>
      </c>
      <c r="M11" s="28">
        <f t="shared" si="0"/>
        <v>44887</v>
      </c>
    </row>
    <row r="12" spans="1:17" ht="20.25" customHeight="1" thickBot="1" x14ac:dyDescent="0.35">
      <c r="A12" s="29"/>
      <c r="B12" s="29"/>
      <c r="C12" s="29"/>
      <c r="D12" s="29"/>
      <c r="E12" s="29"/>
      <c r="F12" s="29"/>
      <c r="G12" s="29"/>
      <c r="H12" s="29"/>
      <c r="K12">
        <v>7</v>
      </c>
      <c r="L12" s="20" t="s">
        <v>72</v>
      </c>
      <c r="M12" s="28">
        <f t="shared" si="0"/>
        <v>44888</v>
      </c>
    </row>
    <row r="13" spans="1:17" ht="44.25" customHeight="1" thickBot="1" x14ac:dyDescent="0.35">
      <c r="A13" s="52" t="s">
        <v>18</v>
      </c>
      <c r="B13" s="53"/>
      <c r="C13" s="53"/>
      <c r="D13" s="53"/>
      <c r="E13" s="53"/>
      <c r="F13" s="53"/>
      <c r="G13" s="53"/>
      <c r="H13" s="54"/>
      <c r="K13">
        <v>8</v>
      </c>
      <c r="L13" s="20" t="s">
        <v>73</v>
      </c>
      <c r="M13" s="28">
        <f t="shared" si="0"/>
        <v>44889</v>
      </c>
    </row>
    <row r="14" spans="1:17" ht="44.25" customHeight="1" x14ac:dyDescent="0.3">
      <c r="A14" s="30" t="s">
        <v>5</v>
      </c>
      <c r="B14" s="55" t="s">
        <v>6</v>
      </c>
      <c r="C14" s="55"/>
      <c r="D14" s="1" t="s">
        <v>7</v>
      </c>
      <c r="E14" s="55" t="s">
        <v>8</v>
      </c>
      <c r="F14" s="55"/>
      <c r="G14" s="55"/>
      <c r="H14" s="31" t="s">
        <v>9</v>
      </c>
      <c r="K14">
        <v>9</v>
      </c>
      <c r="L14" s="20" t="s">
        <v>74</v>
      </c>
      <c r="M14" s="28">
        <f t="shared" si="0"/>
        <v>44890</v>
      </c>
    </row>
    <row r="15" spans="1:17" ht="44.25" customHeight="1" x14ac:dyDescent="0.3">
      <c r="A15" s="32">
        <v>1</v>
      </c>
      <c r="B15" s="40" t="str" cm="1">
        <f t="array" aca="1" ref="B15" ca="1">LEFT(INDEX(전자전체,MATCH(TEXT($C$9,"YYYYMMDD"),전자훈련일,0)+A15-1,9),FIND("_",INDEX(전자전체,MATCH(TEXT($C$9,"YYYYMMDD"),전자훈련일,0)+A15-1,9))-1)</f>
        <v>컴퓨터 일반</v>
      </c>
      <c r="C15" s="40"/>
      <c r="D15" s="35" t="str" cm="1">
        <f t="array" aca="1" ref="D15" ca="1">LEFT( INDEX( 전자전체, MATCH( TEXT($C$9, "YYYYMMDD"), 전자훈련일, 0)+A15-1, 7 ), FIND("_", INDEX( 전자전체, MATCH( TEXT($C$9, "YYYYMMDD"), 전자훈련일, 0)+A15-1, 7 )) -1 )</f>
        <v>김덕중</v>
      </c>
      <c r="E15" s="40" t="str" cm="1">
        <f t="array" aca="1" ref="E15" ca="1">IFERROR( MID( INDEX( 전자전체, MATCH( TEXT( $C$9, "YYYYMMDD"), 전자훈련일, 0 )+A15-1, 9 ), P15, Q15-P15+1), LEFT( INDEX( 전자전체, MATCH( TEXT( $C$9, "YYYYMMDD"), 전자훈련일, 0 )+A15-1, 9 ), FIND( "_", INDEX( 전자전체, MATCH( TEXT( $C$9, "YYYYMMDD"), 전자훈련일, 0 )+A15-1, 9 ) ) -1 ) )</f>
        <v>컴퓨터 일반</v>
      </c>
      <c r="F15" s="40"/>
      <c r="G15" s="40"/>
      <c r="H15" s="33"/>
      <c r="K15">
        <v>10</v>
      </c>
      <c r="L15" s="20" t="s">
        <v>75</v>
      </c>
      <c r="M15" s="28">
        <f t="shared" si="0"/>
        <v>44893</v>
      </c>
      <c r="P15" cm="1">
        <f t="array" aca="1" ref="P15" ca="1">FIND("_", INDEX( 전자전체, MATCH( TEXT( $C$9, "YYYYMMDD"), 전자훈련일, 0 ) + A15-1, 9 ))+1</f>
        <v>8</v>
      </c>
      <c r="Q15" t="e" cm="1">
        <f t="array" aca="1" ref="Q15" ca="1">FIND("_", INDEX(전자전체, MATCH( TEXT( $C$9, "yyyymmdd"), 전자훈련일, 0 ) + A15-1, 9 ), P15 ) -1</f>
        <v>#VALUE!</v>
      </c>
    </row>
    <row r="16" spans="1:17" ht="44.25" customHeight="1" x14ac:dyDescent="0.3">
      <c r="A16" s="32">
        <v>2</v>
      </c>
      <c r="B16" s="40" t="str" cm="1">
        <f t="array" aca="1" ref="B16" ca="1">LEFT(INDEX(전자전체,MATCH(TEXT($C$9,"YYYYMMDD"),전자훈련일,0)+A16-1,9),FIND("_",INDEX(전자전체,MATCH(TEXT($C$9,"YYYYMMDD"),전자훈련일,0)+A16-1,9))-1)</f>
        <v>컴퓨터 일반</v>
      </c>
      <c r="C16" s="40"/>
      <c r="D16" s="35" t="str" cm="1">
        <f t="array" aca="1" ref="D16" ca="1">LEFT( INDEX( 전자전체, MATCH( TEXT($C$9, "YYYYMMDD"), 전자훈련일, 0)+A16-1, 7 ), FIND("_", INDEX( 전자전체, MATCH( TEXT($C$9, "YYYYMMDD"), 전자훈련일, 0)+A16-1, 7 )) -1 )</f>
        <v>김덕중</v>
      </c>
      <c r="E16" s="40" t="str" cm="1">
        <f t="array" aca="1" ref="E16" ca="1">IFERROR( MID( INDEX( 전자전체, MATCH( TEXT( $C$9, "YYYYMMDD"), 전자훈련일, 0 )+A16-1, 9 ), P16, Q16-P16+1), LEFT( INDEX( 전자전체, MATCH( TEXT( $C$9, "YYYYMMDD"), 전자훈련일, 0 )+A16-1, 9 ), FIND( "_", INDEX( 전자전체, MATCH( TEXT( $C$9, "YYYYMMDD"), 전자훈련일, 0 )+A16-1, 9 ) ) -1 ) )</f>
        <v>컴퓨터 일반</v>
      </c>
      <c r="F16" s="40"/>
      <c r="G16" s="40"/>
      <c r="H16" s="33"/>
      <c r="K16">
        <v>11</v>
      </c>
      <c r="L16" s="20" t="s">
        <v>76</v>
      </c>
      <c r="M16" s="28">
        <f t="shared" si="0"/>
        <v>44894</v>
      </c>
      <c r="P16" cm="1">
        <f t="array" aca="1" ref="P16" ca="1">FIND("_", INDEX( 전자전체, MATCH( TEXT( $C$9, "YYYYMMDD"), 전자훈련일, 0 ) + A16-1, 9 ))+1</f>
        <v>8</v>
      </c>
      <c r="Q16" t="e" cm="1">
        <f t="array" aca="1" ref="Q16" ca="1">FIND("_", INDEX(전자전체, MATCH( TEXT( $C$9, "yyyymmdd"), 전자훈련일, 0 ) + A16-1, 9 ), P16 ) -1</f>
        <v>#VALUE!</v>
      </c>
    </row>
    <row r="17" spans="1:17" ht="44.25" customHeight="1" x14ac:dyDescent="0.3">
      <c r="A17" s="32">
        <v>3</v>
      </c>
      <c r="B17" s="40" t="str" cm="1">
        <f t="array" aca="1" ref="B17" ca="1">LEFT(INDEX(전자전체,MATCH(TEXT($C$9,"YYYYMMDD"),전자훈련일,0)+A17-1,9),FIND("_",INDEX(전자전체,MATCH(TEXT($C$9,"YYYYMMDD"),전자훈련일,0)+A17-1,9))-1)</f>
        <v>컴퓨터활용능력실기</v>
      </c>
      <c r="C17" s="40"/>
      <c r="D17" s="35" t="str" cm="1">
        <f t="array" aca="1" ref="D17" ca="1">LEFT( INDEX( 전자전체, MATCH( TEXT($C$9, "YYYYMMDD"), 전자훈련일, 0)+A17-1, 7 ), FIND("_", INDEX( 전자전체, MATCH( TEXT($C$9, "YYYYMMDD"), 전자훈련일, 0)+A17-1, 7 )) -1 )</f>
        <v>김덕중</v>
      </c>
      <c r="E17" s="40" t="str" cm="1">
        <f t="array" aca="1" ref="E17" ca="1">IFERROR( MID( INDEX( 전자전체, MATCH( TEXT( $C$9, "YYYYMMDD"), 전자훈련일, 0 )+A17-1, 9 ), P17, Q17-P17+1), LEFT( INDEX( 전자전체, MATCH( TEXT( $C$9, "YYYYMMDD"), 전자훈련일, 0 )+A17-1, 9 ), FIND( "_", INDEX( 전자전체, MATCH( TEXT( $C$9, "YYYYMMDD"), 전자훈련일, 0 )+A17-1, 9 ) ) -1 ) )</f>
        <v>사무자동화 프로그램 활용</v>
      </c>
      <c r="F17" s="40"/>
      <c r="G17" s="40"/>
      <c r="H17" s="33"/>
      <c r="K17">
        <v>12</v>
      </c>
      <c r="L17" s="20" t="s">
        <v>77</v>
      </c>
      <c r="M17" s="28">
        <f t="shared" si="0"/>
        <v>44895</v>
      </c>
      <c r="P17" cm="1">
        <f t="array" aca="1" ref="P17" ca="1">FIND("_", INDEX( 전자전체, MATCH( TEXT( $C$9, "YYYYMMDD"), 전자훈련일, 0 ) + A17-1, 9 ))+1</f>
        <v>11</v>
      </c>
      <c r="Q17" cm="1">
        <f t="array" aca="1" ref="Q17" ca="1">FIND("_", INDEX(전자전체, MATCH( TEXT( $C$9, "yyyymmdd"), 전자훈련일, 0 ) + A17-1, 9 ), P17 ) -1</f>
        <v>23</v>
      </c>
    </row>
    <row r="18" spans="1:17" ht="44.25" customHeight="1" thickBot="1" x14ac:dyDescent="0.35">
      <c r="A18" s="26">
        <v>4</v>
      </c>
      <c r="B18" s="43" t="str" cm="1">
        <f t="array" aca="1" ref="B18" ca="1">LEFT(INDEX(전자전체,MATCH(TEXT($C$9,"YYYYMMDD"),전자훈련일,0)+A18-1,9),FIND("_",INDEX(전자전체,MATCH(TEXT($C$9,"YYYYMMDD"),전자훈련일,0)+A18-1,9))-1)</f>
        <v>컴퓨터활용능력실기</v>
      </c>
      <c r="C18" s="43"/>
      <c r="D18" s="36" t="str" cm="1">
        <f t="array" aca="1" ref="D18" ca="1">LEFT( INDEX( 전자전체, MATCH( TEXT($C$9, "YYYYMMDD"), 전자훈련일, 0)+A18-1, 7 ), FIND("_", INDEX( 전자전체, MATCH( TEXT($C$9, "YYYYMMDD"), 전자훈련일, 0)+A18-1, 7 )) -1 )</f>
        <v>김덕중</v>
      </c>
      <c r="E18" s="43" t="str" cm="1">
        <f t="array" aca="1" ref="E18" ca="1">IFERROR( MID( INDEX( 전자전체, MATCH( TEXT( $C$9, "YYYYMMDD"), 전자훈련일, 0 )+A18-1, 9 ), P18, Q18-P18+1), LEFT( INDEX( 전자전체, MATCH( TEXT( $C$9, "YYYYMMDD"), 전자훈련일, 0 )+A18-1, 9 ), FIND( "_", INDEX( 전자전체, MATCH( TEXT( $C$9, "YYYYMMDD"), 전자훈련일, 0 )+A18-1, 9 ) ) -1 ) )</f>
        <v>사무자동화 프로그램 활용</v>
      </c>
      <c r="F18" s="43"/>
      <c r="G18" s="43"/>
      <c r="H18" s="34"/>
      <c r="K18">
        <v>13</v>
      </c>
      <c r="L18" s="20" t="s">
        <v>78</v>
      </c>
      <c r="M18" s="28">
        <f t="shared" si="0"/>
        <v>44896</v>
      </c>
      <c r="P18" cm="1">
        <f t="array" aca="1" ref="P18" ca="1">FIND("_", INDEX( 전자전체, MATCH( TEXT( $C$9, "YYYYMMDD"), 전자훈련일, 0 ) + A18-1, 9 ))+1</f>
        <v>11</v>
      </c>
      <c r="Q18" cm="1">
        <f t="array" aca="1" ref="Q18" ca="1">FIND("_", INDEX(전자전체, MATCH( TEXT( $C$9, "yyyymmdd"), 전자훈련일, 0 ) + A18-1, 9 ), P18 ) -1</f>
        <v>23</v>
      </c>
    </row>
    <row r="19" spans="1:17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  <c r="K19">
        <v>14</v>
      </c>
      <c r="L19" s="20" t="s">
        <v>79</v>
      </c>
      <c r="M19" s="28">
        <f t="shared" si="0"/>
        <v>44897</v>
      </c>
    </row>
    <row r="20" spans="1:17" ht="44.25" customHeight="1" x14ac:dyDescent="0.3">
      <c r="A20" s="37" t="s">
        <v>11</v>
      </c>
      <c r="B20" s="39" t="s">
        <v>12</v>
      </c>
      <c r="C20" s="39"/>
      <c r="D20" s="40"/>
      <c r="E20" s="40"/>
      <c r="F20" s="40"/>
      <c r="G20" s="40"/>
      <c r="H20" s="41"/>
      <c r="K20">
        <v>15</v>
      </c>
      <c r="L20" s="20" t="s">
        <v>80</v>
      </c>
      <c r="M20" s="28">
        <f t="shared" si="0"/>
        <v>44900</v>
      </c>
    </row>
    <row r="21" spans="1:17" ht="44.25" customHeight="1" x14ac:dyDescent="0.3">
      <c r="A21" s="37"/>
      <c r="B21" s="39" t="s">
        <v>13</v>
      </c>
      <c r="C21" s="39"/>
      <c r="D21" s="40"/>
      <c r="E21" s="40"/>
      <c r="F21" s="40"/>
      <c r="G21" s="40"/>
      <c r="H21" s="41"/>
      <c r="K21">
        <v>16</v>
      </c>
      <c r="L21" s="20" t="s">
        <v>81</v>
      </c>
      <c r="M21" s="28">
        <f t="shared" si="0"/>
        <v>44901</v>
      </c>
    </row>
    <row r="22" spans="1:17" ht="44.25" customHeight="1" x14ac:dyDescent="0.3">
      <c r="A22" s="37"/>
      <c r="B22" s="39" t="s">
        <v>14</v>
      </c>
      <c r="C22" s="39"/>
      <c r="D22" s="40"/>
      <c r="E22" s="40"/>
      <c r="F22" s="40"/>
      <c r="G22" s="40"/>
      <c r="H22" s="41"/>
      <c r="K22">
        <v>17</v>
      </c>
      <c r="L22" s="20" t="s">
        <v>82</v>
      </c>
      <c r="M22" s="28">
        <f t="shared" si="0"/>
        <v>44902</v>
      </c>
    </row>
    <row r="23" spans="1:17" ht="44.25" customHeight="1" thickBot="1" x14ac:dyDescent="0.35">
      <c r="A23" s="38"/>
      <c r="B23" s="42" t="s">
        <v>15</v>
      </c>
      <c r="C23" s="42"/>
      <c r="D23" s="43"/>
      <c r="E23" s="43"/>
      <c r="F23" s="43"/>
      <c r="G23" s="43"/>
      <c r="H23" s="44"/>
      <c r="K23">
        <v>18</v>
      </c>
      <c r="L23" s="20" t="s">
        <v>83</v>
      </c>
      <c r="M23" s="28">
        <f t="shared" si="0"/>
        <v>44903</v>
      </c>
    </row>
    <row r="24" spans="1:17" x14ac:dyDescent="0.3">
      <c r="K24">
        <v>19</v>
      </c>
      <c r="L24" s="20" t="s">
        <v>84</v>
      </c>
      <c r="M24" s="28">
        <f t="shared" si="0"/>
        <v>44904</v>
      </c>
    </row>
    <row r="25" spans="1:17" x14ac:dyDescent="0.3">
      <c r="K25">
        <v>20</v>
      </c>
      <c r="L25" s="20" t="s">
        <v>85</v>
      </c>
      <c r="M25" s="28">
        <f t="shared" si="0"/>
        <v>44907</v>
      </c>
    </row>
    <row r="26" spans="1:17" x14ac:dyDescent="0.3">
      <c r="K26">
        <v>21</v>
      </c>
      <c r="L26" s="20" t="s">
        <v>86</v>
      </c>
      <c r="M26" s="28">
        <f t="shared" si="0"/>
        <v>44908</v>
      </c>
    </row>
    <row r="27" spans="1:17" x14ac:dyDescent="0.3">
      <c r="K27">
        <v>22</v>
      </c>
      <c r="L27" s="20" t="s">
        <v>87</v>
      </c>
      <c r="M27" s="28">
        <f t="shared" si="0"/>
        <v>44909</v>
      </c>
    </row>
    <row r="28" spans="1:17" x14ac:dyDescent="0.3">
      <c r="K28">
        <v>23</v>
      </c>
      <c r="L28" s="20" t="s">
        <v>88</v>
      </c>
      <c r="M28" s="28">
        <f t="shared" si="0"/>
        <v>44910</v>
      </c>
    </row>
    <row r="29" spans="1:17" x14ac:dyDescent="0.3">
      <c r="K29">
        <v>24</v>
      </c>
      <c r="L29" s="20" t="s">
        <v>89</v>
      </c>
      <c r="M29" s="28">
        <f t="shared" si="0"/>
        <v>44911</v>
      </c>
    </row>
    <row r="30" spans="1:17" x14ac:dyDescent="0.3">
      <c r="K30">
        <v>25</v>
      </c>
      <c r="L30" s="20" t="s">
        <v>90</v>
      </c>
      <c r="M30" s="28">
        <f t="shared" si="0"/>
        <v>44914</v>
      </c>
    </row>
    <row r="31" spans="1:17" x14ac:dyDescent="0.3">
      <c r="K31">
        <v>26</v>
      </c>
      <c r="L31" s="20" t="s">
        <v>91</v>
      </c>
      <c r="M31" s="28">
        <f t="shared" si="0"/>
        <v>44915</v>
      </c>
    </row>
    <row r="32" spans="1:17" x14ac:dyDescent="0.3">
      <c r="K32">
        <v>27</v>
      </c>
      <c r="L32" s="20" t="s">
        <v>92</v>
      </c>
      <c r="M32" s="28">
        <f t="shared" si="0"/>
        <v>44916</v>
      </c>
    </row>
    <row r="33" spans="11:13" x14ac:dyDescent="0.3">
      <c r="K33">
        <v>28</v>
      </c>
      <c r="L33" s="20" t="s">
        <v>93</v>
      </c>
      <c r="M33" s="28">
        <f t="shared" si="0"/>
        <v>44917</v>
      </c>
    </row>
    <row r="34" spans="11:13" x14ac:dyDescent="0.3">
      <c r="K34">
        <v>29</v>
      </c>
      <c r="L34" s="20" t="s">
        <v>94</v>
      </c>
      <c r="M34" s="28">
        <f t="shared" si="0"/>
        <v>44918</v>
      </c>
    </row>
    <row r="35" spans="11:13" x14ac:dyDescent="0.3">
      <c r="K35">
        <v>30</v>
      </c>
      <c r="L35" s="20" t="s">
        <v>95</v>
      </c>
      <c r="M35" s="28">
        <f t="shared" si="0"/>
        <v>44921</v>
      </c>
    </row>
    <row r="36" spans="11:13" x14ac:dyDescent="0.3">
      <c r="K36">
        <v>31</v>
      </c>
      <c r="L36" s="20" t="s">
        <v>96</v>
      </c>
      <c r="M36" s="28">
        <f t="shared" si="0"/>
        <v>44922</v>
      </c>
    </row>
    <row r="37" spans="11:13" x14ac:dyDescent="0.3">
      <c r="K37">
        <v>32</v>
      </c>
      <c r="L37" s="20" t="s">
        <v>97</v>
      </c>
      <c r="M37" s="28">
        <f t="shared" si="0"/>
        <v>44923</v>
      </c>
    </row>
    <row r="38" spans="11:13" x14ac:dyDescent="0.3">
      <c r="K38">
        <v>33</v>
      </c>
      <c r="L38" s="20" t="s">
        <v>98</v>
      </c>
      <c r="M38" s="28">
        <f t="shared" si="0"/>
        <v>44924</v>
      </c>
    </row>
  </sheetData>
  <sheetProtection selectLockedCells="1"/>
  <mergeCells count="29"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  <mergeCell ref="B17:C17"/>
    <mergeCell ref="E17:G17"/>
    <mergeCell ref="B18:C18"/>
    <mergeCell ref="E18:G18"/>
    <mergeCell ref="A19:C19"/>
    <mergeCell ref="D19:H19"/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</mergeCells>
  <phoneticPr fontId="1" type="noConversion"/>
  <dataValidations count="1">
    <dataValidation type="list" allowBlank="1" showInputMessage="1" showErrorMessage="1" sqref="E2" xr:uid="{00000000-0002-0000-0000-000000000000}">
      <formula1>일차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N15" sqref="N15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6" t="s">
        <v>19</v>
      </c>
      <c r="C2" s="1" t="s">
        <v>20</v>
      </c>
      <c r="D2" s="4" t="s">
        <v>21</v>
      </c>
    </row>
    <row r="3" spans="2:15" ht="55.5" customHeight="1" thickBot="1" x14ac:dyDescent="0.35">
      <c r="B3" s="57"/>
      <c r="C3" s="2"/>
      <c r="D3" s="3"/>
    </row>
    <row r="4" spans="2:15" ht="17.25" thickBot="1" x14ac:dyDescent="0.35"/>
    <row r="5" spans="2:15" ht="25.5" customHeight="1" thickBot="1" x14ac:dyDescent="0.35">
      <c r="F5" s="5" t="s">
        <v>22</v>
      </c>
      <c r="G5" s="6" t="s">
        <v>23</v>
      </c>
      <c r="H5" s="7" t="s">
        <v>24</v>
      </c>
      <c r="I5" s="6" t="s">
        <v>23</v>
      </c>
      <c r="J5" s="7" t="s">
        <v>25</v>
      </c>
      <c r="K5" s="6" t="s">
        <v>23</v>
      </c>
      <c r="L5" s="7" t="s">
        <v>26</v>
      </c>
      <c r="M5" s="6" t="s">
        <v>23</v>
      </c>
      <c r="N5" s="7" t="s">
        <v>27</v>
      </c>
      <c r="O5" s="8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9" customFormat="1" ht="26.25" customHeight="1" x14ac:dyDescent="0.3">
      <c r="B1" s="60" t="s">
        <v>28</v>
      </c>
      <c r="C1" s="60"/>
      <c r="D1" s="60"/>
      <c r="E1" s="60"/>
      <c r="F1" s="60"/>
      <c r="G1" s="60"/>
      <c r="H1" s="60"/>
      <c r="I1" s="60"/>
      <c r="J1" s="60"/>
      <c r="K1" s="60"/>
      <c r="L1" s="60" t="s">
        <v>28</v>
      </c>
      <c r="M1" s="60"/>
      <c r="N1" s="60"/>
      <c r="O1" s="60"/>
      <c r="P1" s="60"/>
      <c r="Q1" s="60"/>
      <c r="R1" s="60"/>
      <c r="S1" s="60"/>
      <c r="T1" s="60"/>
      <c r="U1" s="60"/>
      <c r="V1" s="60" t="s">
        <v>28</v>
      </c>
      <c r="W1" s="60"/>
      <c r="X1" s="60"/>
      <c r="Y1" s="60"/>
      <c r="Z1" s="60"/>
      <c r="AA1" s="60"/>
      <c r="AB1" s="60"/>
      <c r="AC1" s="60"/>
    </row>
    <row r="2" spans="1:29" s="9" customFormat="1" ht="24.75" customHeight="1" thickBot="1" x14ac:dyDescent="0.35">
      <c r="B2" s="61" t="str">
        <f>"&lt;훈련기간 : " &amp; TEXT($B$3,"yyyy/mm/dd") &amp; " ~ " &amp; TEXT($Y$3, "mm/dd") &amp; ",  19시~21시30, 60H, 24일&gt;"</f>
        <v>&lt;훈련기간 : 2023/08/21 ~ 09/22,  19시~21시30, 60H, 24일&gt;</v>
      </c>
      <c r="C2" s="61"/>
      <c r="D2" s="61"/>
      <c r="E2" s="61"/>
      <c r="F2" s="61"/>
      <c r="G2" s="61"/>
      <c r="H2" s="61"/>
      <c r="I2" s="61"/>
      <c r="J2" s="61"/>
      <c r="K2" s="61"/>
      <c r="L2" s="61" t="str">
        <f>"&lt;훈련기간 : " &amp; TEXT($B$3,"yyyy/mm/dd") &amp; " ~ " &amp; TEXT($Y$3, "mm/dd") &amp; ",  19시~21시30, 60H, 24일&gt;"</f>
        <v>&lt;훈련기간 : 2023/08/21 ~ 09/22,  19시~21시30, 60H, 24일&gt;</v>
      </c>
      <c r="M2" s="61"/>
      <c r="N2" s="61"/>
      <c r="O2" s="61"/>
      <c r="P2" s="61"/>
      <c r="Q2" s="61"/>
      <c r="R2" s="61"/>
      <c r="S2" s="61"/>
      <c r="T2" s="61"/>
      <c r="U2" s="61"/>
      <c r="V2" s="61" t="str">
        <f>"&lt;훈련기간 : " &amp; TEXT($B$3,"yyyy/mm/dd") &amp; " ~ " &amp; TEXT($Y$3, "mm/dd") &amp; ",  19시~21시30, 60H, 24일&gt;"</f>
        <v>&lt;훈련기간 : 2023/08/21 ~ 09/22,  19시~21시30, 60H, 24일&gt;</v>
      </c>
      <c r="W2" s="61"/>
      <c r="X2" s="61"/>
      <c r="Y2" s="61"/>
      <c r="Z2" s="61"/>
      <c r="AA2" s="61"/>
      <c r="AB2" s="61"/>
      <c r="AC2" s="61"/>
    </row>
    <row r="3" spans="1:29" s="12" customFormat="1" ht="26.25" customHeight="1" x14ac:dyDescent="0.3">
      <c r="A3" s="10" t="s">
        <v>29</v>
      </c>
      <c r="B3" s="11">
        <v>45159</v>
      </c>
      <c r="C3" s="11">
        <f>WORKDAY(B3,1,$C$15:$C$22)</f>
        <v>45160</v>
      </c>
      <c r="D3" s="11">
        <f>WORKDAY(C3,1,$C$15:$C$22)</f>
        <v>45162</v>
      </c>
      <c r="E3" s="11">
        <f t="shared" ref="E3:Y3" si="0">WORKDAY(D3,1,$C$15:$C$22)</f>
        <v>45163</v>
      </c>
      <c r="F3" s="11">
        <f t="shared" si="0"/>
        <v>45166</v>
      </c>
      <c r="G3" s="11">
        <f t="shared" si="0"/>
        <v>45167</v>
      </c>
      <c r="H3" s="11">
        <f t="shared" si="0"/>
        <v>45168</v>
      </c>
      <c r="I3" s="11">
        <f t="shared" si="0"/>
        <v>45169</v>
      </c>
      <c r="J3" s="11">
        <f t="shared" si="0"/>
        <v>45170</v>
      </c>
      <c r="K3" s="11">
        <f t="shared" si="0"/>
        <v>45173</v>
      </c>
      <c r="L3" s="11">
        <f>WORKDAY(K3,1,$C$15:$C$22)</f>
        <v>45174</v>
      </c>
      <c r="M3" s="11">
        <f t="shared" si="0"/>
        <v>45175</v>
      </c>
      <c r="N3" s="11">
        <f t="shared" si="0"/>
        <v>45176</v>
      </c>
      <c r="O3" s="11">
        <f t="shared" si="0"/>
        <v>45177</v>
      </c>
      <c r="P3" s="11">
        <f t="shared" si="0"/>
        <v>45180</v>
      </c>
      <c r="Q3" s="11">
        <f t="shared" si="0"/>
        <v>45181</v>
      </c>
      <c r="R3" s="11">
        <f t="shared" si="0"/>
        <v>45182</v>
      </c>
      <c r="S3" s="11">
        <f t="shared" si="0"/>
        <v>45183</v>
      </c>
      <c r="T3" s="11">
        <f t="shared" si="0"/>
        <v>45184</v>
      </c>
      <c r="U3" s="11">
        <f t="shared" si="0"/>
        <v>45187</v>
      </c>
      <c r="V3" s="11">
        <f t="shared" si="0"/>
        <v>45188</v>
      </c>
      <c r="W3" s="11">
        <f t="shared" si="0"/>
        <v>45189</v>
      </c>
      <c r="X3" s="11">
        <f t="shared" si="0"/>
        <v>45190</v>
      </c>
      <c r="Y3" s="11">
        <f t="shared" si="0"/>
        <v>45191</v>
      </c>
    </row>
    <row r="4" spans="1:29" s="15" customFormat="1" ht="26.25" customHeight="1" thickBot="1" x14ac:dyDescent="0.35">
      <c r="A4" s="13" t="s">
        <v>30</v>
      </c>
      <c r="B4" s="14" t="s">
        <v>31</v>
      </c>
      <c r="C4" s="14" t="s">
        <v>32</v>
      </c>
      <c r="D4" s="14" t="s">
        <v>33</v>
      </c>
      <c r="E4" s="14" t="s">
        <v>34</v>
      </c>
      <c r="F4" s="14" t="s">
        <v>35</v>
      </c>
      <c r="G4" s="14" t="s">
        <v>36</v>
      </c>
      <c r="H4" s="14" t="s">
        <v>37</v>
      </c>
      <c r="I4" s="14" t="s">
        <v>38</v>
      </c>
      <c r="J4" s="14" t="s">
        <v>39</v>
      </c>
      <c r="K4" s="14" t="s">
        <v>40</v>
      </c>
      <c r="L4" s="14" t="s">
        <v>41</v>
      </c>
      <c r="M4" s="14" t="s">
        <v>42</v>
      </c>
      <c r="N4" s="14" t="s">
        <v>43</v>
      </c>
      <c r="O4" s="14" t="s">
        <v>44</v>
      </c>
      <c r="P4" s="14" t="s">
        <v>45</v>
      </c>
      <c r="Q4" s="14" t="s">
        <v>46</v>
      </c>
      <c r="R4" s="14" t="s">
        <v>47</v>
      </c>
      <c r="S4" s="14" t="s">
        <v>48</v>
      </c>
      <c r="T4" s="14" t="s">
        <v>49</v>
      </c>
      <c r="U4" s="14" t="s">
        <v>50</v>
      </c>
      <c r="V4" s="14" t="s">
        <v>51</v>
      </c>
      <c r="W4" s="14" t="s">
        <v>52</v>
      </c>
      <c r="X4" s="14" t="s">
        <v>53</v>
      </c>
      <c r="Y4" s="14" t="s">
        <v>54</v>
      </c>
    </row>
    <row r="5" spans="1:29" s="9" customFormat="1" ht="35.25" customHeight="1" thickTop="1" x14ac:dyDescent="0.3">
      <c r="A5" s="58" t="s">
        <v>55</v>
      </c>
      <c r="B5" s="16" t="s">
        <v>56</v>
      </c>
      <c r="C5" s="16" t="s">
        <v>56</v>
      </c>
      <c r="D5" s="16" t="s">
        <v>56</v>
      </c>
      <c r="E5" s="16" t="s">
        <v>56</v>
      </c>
      <c r="F5" s="16" t="s">
        <v>56</v>
      </c>
      <c r="G5" s="16" t="s">
        <v>56</v>
      </c>
      <c r="H5" s="16" t="s">
        <v>56</v>
      </c>
      <c r="I5" s="16" t="s">
        <v>56</v>
      </c>
      <c r="J5" s="16" t="s">
        <v>56</v>
      </c>
      <c r="K5" s="16" t="s">
        <v>57</v>
      </c>
      <c r="L5" s="16" t="s">
        <v>57</v>
      </c>
      <c r="M5" s="16" t="s">
        <v>57</v>
      </c>
      <c r="N5" s="16" t="s">
        <v>57</v>
      </c>
      <c r="O5" s="16" t="s">
        <v>57</v>
      </c>
      <c r="P5" s="16" t="s">
        <v>57</v>
      </c>
      <c r="Q5" s="16" t="s">
        <v>57</v>
      </c>
      <c r="R5" s="16" t="s">
        <v>57</v>
      </c>
      <c r="S5" s="16" t="s">
        <v>57</v>
      </c>
      <c r="T5" s="16" t="s">
        <v>57</v>
      </c>
      <c r="U5" s="16" t="s">
        <v>57</v>
      </c>
      <c r="V5" s="16" t="s">
        <v>57</v>
      </c>
      <c r="W5" s="16" t="s">
        <v>57</v>
      </c>
      <c r="X5" s="16" t="s">
        <v>57</v>
      </c>
      <c r="Y5" s="16" t="s">
        <v>57</v>
      </c>
    </row>
    <row r="6" spans="1:29" s="9" customFormat="1" ht="52.5" customHeight="1" x14ac:dyDescent="0.3">
      <c r="A6" s="59"/>
      <c r="B6" s="16" t="s">
        <v>58</v>
      </c>
      <c r="C6" s="16" t="s">
        <v>58</v>
      </c>
      <c r="D6" s="16" t="s">
        <v>58</v>
      </c>
      <c r="E6" s="16" t="s">
        <v>58</v>
      </c>
      <c r="F6" s="16" t="s">
        <v>58</v>
      </c>
      <c r="G6" s="16" t="s">
        <v>59</v>
      </c>
      <c r="H6" s="16" t="s">
        <v>59</v>
      </c>
      <c r="I6" s="16" t="s">
        <v>59</v>
      </c>
      <c r="J6" s="16" t="s">
        <v>59</v>
      </c>
      <c r="K6" s="16" t="s">
        <v>57</v>
      </c>
      <c r="L6" s="16" t="s">
        <v>57</v>
      </c>
      <c r="M6" s="16" t="s">
        <v>57</v>
      </c>
      <c r="N6" s="16" t="s">
        <v>57</v>
      </c>
      <c r="O6" s="16" t="s">
        <v>57</v>
      </c>
      <c r="P6" s="16" t="s">
        <v>57</v>
      </c>
      <c r="Q6" s="16" t="s">
        <v>57</v>
      </c>
      <c r="R6" s="16" t="s">
        <v>57</v>
      </c>
      <c r="S6" s="16" t="s">
        <v>57</v>
      </c>
      <c r="T6" s="16" t="s">
        <v>57</v>
      </c>
      <c r="U6" s="16" t="s">
        <v>57</v>
      </c>
      <c r="V6" s="16" t="s">
        <v>57</v>
      </c>
      <c r="W6" s="16" t="s">
        <v>57</v>
      </c>
      <c r="X6" s="16" t="s">
        <v>57</v>
      </c>
      <c r="Y6" s="16" t="s">
        <v>57</v>
      </c>
    </row>
    <row r="7" spans="1:29" s="9" customFormat="1" ht="21" customHeight="1" x14ac:dyDescent="0.3">
      <c r="A7" s="59"/>
      <c r="B7" s="17" t="s">
        <v>60</v>
      </c>
      <c r="C7" s="17" t="s">
        <v>60</v>
      </c>
      <c r="D7" s="17" t="s">
        <v>60</v>
      </c>
      <c r="E7" s="17" t="s">
        <v>60</v>
      </c>
      <c r="F7" s="17" t="s">
        <v>60</v>
      </c>
      <c r="G7" s="17" t="s">
        <v>60</v>
      </c>
      <c r="H7" s="17" t="s">
        <v>60</v>
      </c>
      <c r="I7" s="17" t="s">
        <v>60</v>
      </c>
      <c r="J7" s="17" t="s">
        <v>60</v>
      </c>
      <c r="K7" s="17" t="s">
        <v>60</v>
      </c>
      <c r="L7" s="17" t="s">
        <v>60</v>
      </c>
      <c r="M7" s="17" t="s">
        <v>60</v>
      </c>
      <c r="N7" s="17" t="s">
        <v>60</v>
      </c>
      <c r="O7" s="17" t="s">
        <v>60</v>
      </c>
      <c r="P7" s="17" t="s">
        <v>60</v>
      </c>
      <c r="Q7" s="17" t="s">
        <v>60</v>
      </c>
      <c r="R7" s="17" t="s">
        <v>60</v>
      </c>
      <c r="S7" s="17" t="s">
        <v>60</v>
      </c>
      <c r="T7" s="17" t="s">
        <v>60</v>
      </c>
      <c r="U7" s="17" t="s">
        <v>60</v>
      </c>
      <c r="V7" s="17" t="s">
        <v>60</v>
      </c>
      <c r="W7" s="17" t="s">
        <v>60</v>
      </c>
      <c r="X7" s="17" t="s">
        <v>60</v>
      </c>
      <c r="Y7" s="17" t="s">
        <v>60</v>
      </c>
    </row>
    <row r="8" spans="1:29" s="9" customFormat="1" ht="21" customHeight="1" x14ac:dyDescent="0.3">
      <c r="A8" s="59"/>
      <c r="B8" s="17" t="s">
        <v>61</v>
      </c>
      <c r="C8" s="17" t="s">
        <v>61</v>
      </c>
      <c r="D8" s="17" t="s">
        <v>61</v>
      </c>
      <c r="E8" s="17" t="s">
        <v>61</v>
      </c>
      <c r="F8" s="17" t="s">
        <v>61</v>
      </c>
      <c r="G8" s="17" t="s">
        <v>61</v>
      </c>
      <c r="H8" s="17" t="s">
        <v>61</v>
      </c>
      <c r="I8" s="17" t="s">
        <v>61</v>
      </c>
      <c r="J8" s="17" t="s">
        <v>61</v>
      </c>
      <c r="K8" s="17" t="s">
        <v>61</v>
      </c>
      <c r="L8" s="17" t="s">
        <v>61</v>
      </c>
      <c r="M8" s="17" t="s">
        <v>61</v>
      </c>
      <c r="N8" s="17" t="s">
        <v>61</v>
      </c>
      <c r="O8" s="17" t="s">
        <v>61</v>
      </c>
      <c r="P8" s="17" t="s">
        <v>61</v>
      </c>
      <c r="Q8" s="17" t="s">
        <v>61</v>
      </c>
      <c r="R8" s="17" t="s">
        <v>61</v>
      </c>
      <c r="S8" s="17" t="s">
        <v>61</v>
      </c>
      <c r="T8" s="17" t="s">
        <v>61</v>
      </c>
      <c r="U8" s="17" t="s">
        <v>61</v>
      </c>
      <c r="V8" s="17" t="s">
        <v>61</v>
      </c>
      <c r="W8" s="17" t="s">
        <v>61</v>
      </c>
      <c r="X8" s="17" t="s">
        <v>61</v>
      </c>
      <c r="Y8" s="17" t="s">
        <v>61</v>
      </c>
    </row>
    <row r="9" spans="1:29" s="9" customFormat="1" ht="35.25" customHeight="1" x14ac:dyDescent="0.3">
      <c r="A9" s="59" t="s">
        <v>62</v>
      </c>
      <c r="B9" s="16" t="s">
        <v>63</v>
      </c>
      <c r="C9" s="16" t="s">
        <v>63</v>
      </c>
      <c r="D9" s="16" t="s">
        <v>63</v>
      </c>
      <c r="E9" s="16" t="s">
        <v>63</v>
      </c>
      <c r="F9" s="16" t="s">
        <v>63</v>
      </c>
      <c r="G9" s="16" t="s">
        <v>63</v>
      </c>
      <c r="H9" s="16" t="s">
        <v>63</v>
      </c>
      <c r="I9" s="16" t="s">
        <v>63</v>
      </c>
      <c r="J9" s="16" t="s">
        <v>57</v>
      </c>
      <c r="K9" s="16" t="s">
        <v>57</v>
      </c>
      <c r="L9" s="16" t="s">
        <v>57</v>
      </c>
      <c r="M9" s="16" t="s">
        <v>57</v>
      </c>
      <c r="N9" s="16" t="s">
        <v>57</v>
      </c>
      <c r="O9" s="16" t="s">
        <v>57</v>
      </c>
      <c r="P9" s="16" t="s">
        <v>63</v>
      </c>
      <c r="Q9" s="16" t="s">
        <v>63</v>
      </c>
      <c r="R9" s="16" t="s">
        <v>63</v>
      </c>
      <c r="S9" s="16" t="s">
        <v>63</v>
      </c>
      <c r="T9" s="16" t="s">
        <v>63</v>
      </c>
      <c r="U9" s="16" t="s">
        <v>63</v>
      </c>
      <c r="V9" s="16" t="s">
        <v>63</v>
      </c>
      <c r="W9" s="16" t="s">
        <v>63</v>
      </c>
      <c r="X9" s="16" t="s">
        <v>63</v>
      </c>
      <c r="Y9" s="16" t="s">
        <v>63</v>
      </c>
    </row>
    <row r="10" spans="1:29" s="9" customFormat="1" ht="52.5" customHeight="1" x14ac:dyDescent="0.3">
      <c r="A10" s="59"/>
      <c r="B10" s="16" t="s">
        <v>64</v>
      </c>
      <c r="C10" s="16" t="s">
        <v>64</v>
      </c>
      <c r="D10" s="16" t="s">
        <v>64</v>
      </c>
      <c r="E10" s="16" t="s">
        <v>64</v>
      </c>
      <c r="F10" s="16" t="s">
        <v>64</v>
      </c>
      <c r="G10" s="16" t="s">
        <v>64</v>
      </c>
      <c r="H10" s="16" t="s">
        <v>64</v>
      </c>
      <c r="I10" s="16" t="s">
        <v>64</v>
      </c>
      <c r="J10" s="16" t="s">
        <v>57</v>
      </c>
      <c r="K10" s="16" t="s">
        <v>57</v>
      </c>
      <c r="L10" s="16" t="s">
        <v>57</v>
      </c>
      <c r="M10" s="16" t="s">
        <v>57</v>
      </c>
      <c r="N10" s="16" t="s">
        <v>57</v>
      </c>
      <c r="O10" s="16" t="s">
        <v>57</v>
      </c>
      <c r="P10" s="16" t="s">
        <v>65</v>
      </c>
      <c r="Q10" s="16" t="s">
        <v>65</v>
      </c>
      <c r="R10" s="16" t="s">
        <v>65</v>
      </c>
      <c r="S10" s="16" t="s">
        <v>65</v>
      </c>
      <c r="T10" s="16" t="s">
        <v>65</v>
      </c>
      <c r="U10" s="16" t="s">
        <v>65</v>
      </c>
      <c r="V10" s="16" t="s">
        <v>65</v>
      </c>
      <c r="W10" s="16" t="s">
        <v>65</v>
      </c>
      <c r="X10" s="16" t="s">
        <v>65</v>
      </c>
      <c r="Y10" s="16" t="s">
        <v>65</v>
      </c>
    </row>
    <row r="11" spans="1:29" s="9" customFormat="1" ht="21" customHeight="1" x14ac:dyDescent="0.3">
      <c r="A11" s="59"/>
      <c r="B11" s="17" t="s">
        <v>60</v>
      </c>
      <c r="C11" s="17" t="s">
        <v>60</v>
      </c>
      <c r="D11" s="17" t="s">
        <v>60</v>
      </c>
      <c r="E11" s="17" t="s">
        <v>60</v>
      </c>
      <c r="F11" s="17" t="s">
        <v>60</v>
      </c>
      <c r="G11" s="17" t="s">
        <v>60</v>
      </c>
      <c r="H11" s="17" t="s">
        <v>60</v>
      </c>
      <c r="I11" s="17" t="s">
        <v>60</v>
      </c>
      <c r="J11" s="17" t="s">
        <v>60</v>
      </c>
      <c r="K11" s="17" t="s">
        <v>60</v>
      </c>
      <c r="L11" s="17" t="s">
        <v>60</v>
      </c>
      <c r="M11" s="17" t="s">
        <v>60</v>
      </c>
      <c r="N11" s="17" t="s">
        <v>60</v>
      </c>
      <c r="O11" s="17" t="s">
        <v>60</v>
      </c>
      <c r="P11" s="17" t="s">
        <v>60</v>
      </c>
      <c r="Q11" s="17" t="s">
        <v>60</v>
      </c>
      <c r="R11" s="17" t="s">
        <v>60</v>
      </c>
      <c r="S11" s="17" t="s">
        <v>60</v>
      </c>
      <c r="T11" s="17" t="s">
        <v>60</v>
      </c>
      <c r="U11" s="17" t="s">
        <v>60</v>
      </c>
      <c r="V11" s="17" t="s">
        <v>60</v>
      </c>
      <c r="W11" s="17" t="s">
        <v>60</v>
      </c>
      <c r="X11" s="17" t="s">
        <v>60</v>
      </c>
      <c r="Y11" s="17" t="s">
        <v>60</v>
      </c>
    </row>
    <row r="12" spans="1:29" s="9" customFormat="1" ht="21" customHeight="1" x14ac:dyDescent="0.3">
      <c r="A12" s="59"/>
      <c r="B12" s="17" t="s">
        <v>61</v>
      </c>
      <c r="C12" s="17" t="s">
        <v>61</v>
      </c>
      <c r="D12" s="17" t="s">
        <v>61</v>
      </c>
      <c r="E12" s="17" t="s">
        <v>61</v>
      </c>
      <c r="F12" s="17" t="s">
        <v>61</v>
      </c>
      <c r="G12" s="17" t="s">
        <v>61</v>
      </c>
      <c r="H12" s="17" t="s">
        <v>61</v>
      </c>
      <c r="I12" s="17" t="s">
        <v>61</v>
      </c>
      <c r="J12" s="17" t="s">
        <v>61</v>
      </c>
      <c r="K12" s="17" t="s">
        <v>61</v>
      </c>
      <c r="L12" s="17" t="s">
        <v>61</v>
      </c>
      <c r="M12" s="17" t="s">
        <v>61</v>
      </c>
      <c r="N12" s="17" t="s">
        <v>61</v>
      </c>
      <c r="O12" s="17" t="s">
        <v>61</v>
      </c>
      <c r="P12" s="17" t="s">
        <v>61</v>
      </c>
      <c r="Q12" s="17" t="s">
        <v>61</v>
      </c>
      <c r="R12" s="17" t="s">
        <v>61</v>
      </c>
      <c r="S12" s="17" t="s">
        <v>61</v>
      </c>
      <c r="T12" s="17" t="s">
        <v>61</v>
      </c>
      <c r="U12" s="17" t="s">
        <v>61</v>
      </c>
      <c r="V12" s="17" t="s">
        <v>61</v>
      </c>
      <c r="W12" s="17" t="s">
        <v>61</v>
      </c>
      <c r="X12" s="17" t="s">
        <v>61</v>
      </c>
      <c r="Y12" s="17" t="s">
        <v>61</v>
      </c>
    </row>
    <row r="15" spans="1:29" s="9" customFormat="1" ht="13.5" hidden="1" x14ac:dyDescent="0.3">
      <c r="C15" s="18">
        <v>45161</v>
      </c>
    </row>
    <row r="16" spans="1:29" s="9" customFormat="1" ht="13.5" hidden="1" x14ac:dyDescent="0.3">
      <c r="C16" s="18"/>
    </row>
    <row r="17" spans="3:3" s="9" customFormat="1" ht="13.5" hidden="1" x14ac:dyDescent="0.3">
      <c r="C17" s="18"/>
    </row>
    <row r="18" spans="3:3" s="9" customFormat="1" ht="13.5" hidden="1" x14ac:dyDescent="0.3">
      <c r="C18" s="18"/>
    </row>
    <row r="19" spans="3:3" s="9" customFormat="1" ht="13.5" hidden="1" x14ac:dyDescent="0.3">
      <c r="C19" s="18"/>
    </row>
    <row r="20" spans="3:3" s="9" customFormat="1" ht="13.5" hidden="1" x14ac:dyDescent="0.3">
      <c r="C20" s="18"/>
    </row>
    <row r="21" spans="3:3" s="9" customFormat="1" ht="13.5" hidden="1" x14ac:dyDescent="0.3">
      <c r="C21" s="18"/>
    </row>
    <row r="22" spans="3:3" s="9" customFormat="1" ht="13.5" hidden="1" x14ac:dyDescent="0.3">
      <c r="C22" s="18"/>
    </row>
    <row r="23" spans="3:3" s="9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A48" workbookViewId="0">
      <selection activeCell="C64" sqref="C64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2" t="s">
        <v>99</v>
      </c>
      <c r="B1" s="63"/>
      <c r="C1" s="63"/>
      <c r="D1" s="64"/>
      <c r="E1" s="65" t="s">
        <v>100</v>
      </c>
      <c r="F1" s="66"/>
      <c r="G1" s="66"/>
      <c r="H1" s="66"/>
      <c r="I1" s="67"/>
    </row>
    <row r="2" spans="1:12" x14ac:dyDescent="0.3">
      <c r="A2" s="21" t="s">
        <v>101</v>
      </c>
      <c r="B2" s="21" t="s">
        <v>102</v>
      </c>
      <c r="C2" s="21" t="s">
        <v>103</v>
      </c>
      <c r="D2" s="21" t="s">
        <v>104</v>
      </c>
      <c r="E2" s="21" t="s">
        <v>105</v>
      </c>
      <c r="F2" s="21" t="s">
        <v>106</v>
      </c>
      <c r="G2" s="21" t="s">
        <v>107</v>
      </c>
      <c r="H2" s="21" t="s">
        <v>108</v>
      </c>
      <c r="I2" s="21" t="s">
        <v>109</v>
      </c>
      <c r="L2" s="21" t="s">
        <v>101</v>
      </c>
    </row>
    <row r="3" spans="1:12" x14ac:dyDescent="0.3">
      <c r="A3" s="19" t="s">
        <v>66</v>
      </c>
      <c r="B3" s="19" t="s">
        <v>110</v>
      </c>
      <c r="C3" s="19" t="s">
        <v>111</v>
      </c>
      <c r="D3" s="22" t="s">
        <v>112</v>
      </c>
      <c r="E3" s="19" t="s">
        <v>110</v>
      </c>
      <c r="F3" s="19" t="s">
        <v>113</v>
      </c>
      <c r="G3" s="19" t="s">
        <v>114</v>
      </c>
      <c r="H3" s="19" t="s">
        <v>115</v>
      </c>
      <c r="I3" s="19" t="s">
        <v>116</v>
      </c>
      <c r="L3" s="19" t="s">
        <v>66</v>
      </c>
    </row>
    <row r="4" spans="1:12" x14ac:dyDescent="0.3">
      <c r="A4" s="23" t="s">
        <v>66</v>
      </c>
      <c r="B4" s="23" t="s">
        <v>110</v>
      </c>
      <c r="C4" s="23" t="s">
        <v>111</v>
      </c>
      <c r="D4" s="24" t="s">
        <v>112</v>
      </c>
      <c r="E4" s="23" t="s">
        <v>117</v>
      </c>
      <c r="F4" s="23" t="s">
        <v>113</v>
      </c>
      <c r="G4" s="23" t="s">
        <v>114</v>
      </c>
      <c r="H4" s="23" t="s">
        <v>115</v>
      </c>
      <c r="I4" s="23" t="s">
        <v>116</v>
      </c>
      <c r="L4" s="20" t="s">
        <v>67</v>
      </c>
    </row>
    <row r="5" spans="1:12" x14ac:dyDescent="0.3">
      <c r="A5" s="20" t="s">
        <v>66</v>
      </c>
      <c r="B5" s="20" t="s">
        <v>110</v>
      </c>
      <c r="C5" s="20" t="s">
        <v>111</v>
      </c>
      <c r="D5" s="25" t="s">
        <v>112</v>
      </c>
      <c r="E5" s="20" t="s">
        <v>118</v>
      </c>
      <c r="F5" s="20" t="s">
        <v>113</v>
      </c>
      <c r="G5" s="19" t="s">
        <v>119</v>
      </c>
      <c r="H5" s="20" t="s">
        <v>115</v>
      </c>
      <c r="I5" s="20" t="s">
        <v>120</v>
      </c>
      <c r="L5" s="20" t="s">
        <v>68</v>
      </c>
    </row>
    <row r="6" spans="1:12" x14ac:dyDescent="0.3">
      <c r="A6" s="23" t="s">
        <v>66</v>
      </c>
      <c r="B6" s="23" t="s">
        <v>110</v>
      </c>
      <c r="C6" s="23" t="s">
        <v>111</v>
      </c>
      <c r="D6" s="24" t="s">
        <v>112</v>
      </c>
      <c r="E6" s="23" t="s">
        <v>121</v>
      </c>
      <c r="F6" s="23" t="s">
        <v>113</v>
      </c>
      <c r="G6" s="23" t="s">
        <v>119</v>
      </c>
      <c r="H6" s="23" t="s">
        <v>115</v>
      </c>
      <c r="I6" s="23" t="s">
        <v>120</v>
      </c>
      <c r="L6" s="20" t="s">
        <v>69</v>
      </c>
    </row>
    <row r="7" spans="1:12" x14ac:dyDescent="0.3">
      <c r="A7" s="20" t="s">
        <v>67</v>
      </c>
      <c r="B7" s="20" t="s">
        <v>110</v>
      </c>
      <c r="C7" s="20" t="s">
        <v>111</v>
      </c>
      <c r="D7" s="25" t="s">
        <v>112</v>
      </c>
      <c r="E7" s="20" t="s">
        <v>110</v>
      </c>
      <c r="F7" s="20" t="s">
        <v>113</v>
      </c>
      <c r="G7" s="19" t="s">
        <v>119</v>
      </c>
      <c r="H7" s="20" t="s">
        <v>115</v>
      </c>
      <c r="I7" s="20" t="s">
        <v>116</v>
      </c>
      <c r="L7" s="20" t="s">
        <v>70</v>
      </c>
    </row>
    <row r="8" spans="1:12" x14ac:dyDescent="0.3">
      <c r="A8" s="23" t="s">
        <v>67</v>
      </c>
      <c r="B8" s="23" t="s">
        <v>110</v>
      </c>
      <c r="C8" s="23" t="s">
        <v>111</v>
      </c>
      <c r="D8" s="24" t="s">
        <v>112</v>
      </c>
      <c r="E8" s="23" t="s">
        <v>117</v>
      </c>
      <c r="F8" s="23" t="s">
        <v>113</v>
      </c>
      <c r="G8" s="23" t="s">
        <v>119</v>
      </c>
      <c r="H8" s="23" t="s">
        <v>115</v>
      </c>
      <c r="I8" s="23" t="s">
        <v>116</v>
      </c>
      <c r="L8" s="20" t="s">
        <v>71</v>
      </c>
    </row>
    <row r="9" spans="1:12" x14ac:dyDescent="0.3">
      <c r="A9" s="20" t="s">
        <v>67</v>
      </c>
      <c r="B9" s="20" t="s">
        <v>110</v>
      </c>
      <c r="C9" s="20" t="s">
        <v>111</v>
      </c>
      <c r="D9" s="25" t="s">
        <v>112</v>
      </c>
      <c r="E9" s="20" t="s">
        <v>118</v>
      </c>
      <c r="F9" s="20" t="s">
        <v>113</v>
      </c>
      <c r="G9" s="19" t="s">
        <v>119</v>
      </c>
      <c r="H9" s="20" t="s">
        <v>115</v>
      </c>
      <c r="I9" s="20" t="s">
        <v>120</v>
      </c>
      <c r="L9" s="20" t="s">
        <v>72</v>
      </c>
    </row>
    <row r="10" spans="1:12" x14ac:dyDescent="0.3">
      <c r="A10" s="23" t="s">
        <v>67</v>
      </c>
      <c r="B10" s="23" t="s">
        <v>110</v>
      </c>
      <c r="C10" s="23" t="s">
        <v>111</v>
      </c>
      <c r="D10" s="24" t="s">
        <v>112</v>
      </c>
      <c r="E10" s="23" t="s">
        <v>121</v>
      </c>
      <c r="F10" s="23" t="s">
        <v>113</v>
      </c>
      <c r="G10" s="23" t="s">
        <v>119</v>
      </c>
      <c r="H10" s="23" t="s">
        <v>115</v>
      </c>
      <c r="I10" s="23" t="s">
        <v>120</v>
      </c>
      <c r="L10" s="20" t="s">
        <v>73</v>
      </c>
    </row>
    <row r="11" spans="1:12" x14ac:dyDescent="0.3">
      <c r="A11" s="20" t="s">
        <v>68</v>
      </c>
      <c r="B11" s="20" t="s">
        <v>110</v>
      </c>
      <c r="C11" s="20" t="s">
        <v>111</v>
      </c>
      <c r="D11" s="25" t="s">
        <v>112</v>
      </c>
      <c r="E11" s="20" t="s">
        <v>110</v>
      </c>
      <c r="F11" s="20" t="s">
        <v>113</v>
      </c>
      <c r="G11" s="19" t="s">
        <v>119</v>
      </c>
      <c r="H11" s="20" t="s">
        <v>115</v>
      </c>
      <c r="I11" s="20" t="s">
        <v>116</v>
      </c>
      <c r="L11" s="20" t="s">
        <v>74</v>
      </c>
    </row>
    <row r="12" spans="1:12" x14ac:dyDescent="0.3">
      <c r="A12" s="23" t="s">
        <v>68</v>
      </c>
      <c r="B12" s="23" t="s">
        <v>110</v>
      </c>
      <c r="C12" s="23" t="s">
        <v>111</v>
      </c>
      <c r="D12" s="24" t="s">
        <v>112</v>
      </c>
      <c r="E12" s="23" t="s">
        <v>117</v>
      </c>
      <c r="F12" s="23" t="s">
        <v>113</v>
      </c>
      <c r="G12" s="23" t="s">
        <v>119</v>
      </c>
      <c r="H12" s="23" t="s">
        <v>115</v>
      </c>
      <c r="I12" s="23" t="s">
        <v>116</v>
      </c>
      <c r="L12" s="20" t="s">
        <v>75</v>
      </c>
    </row>
    <row r="13" spans="1:12" x14ac:dyDescent="0.3">
      <c r="A13" s="20" t="s">
        <v>68</v>
      </c>
      <c r="B13" s="20" t="s">
        <v>110</v>
      </c>
      <c r="C13" s="20" t="s">
        <v>111</v>
      </c>
      <c r="D13" s="25" t="s">
        <v>112</v>
      </c>
      <c r="E13" s="20" t="s">
        <v>118</v>
      </c>
      <c r="F13" s="20" t="s">
        <v>113</v>
      </c>
      <c r="G13" s="19" t="s">
        <v>119</v>
      </c>
      <c r="H13" s="20" t="s">
        <v>115</v>
      </c>
      <c r="I13" s="20" t="s">
        <v>120</v>
      </c>
      <c r="L13" s="20" t="s">
        <v>76</v>
      </c>
    </row>
    <row r="14" spans="1:12" x14ac:dyDescent="0.3">
      <c r="A14" s="23" t="s">
        <v>68</v>
      </c>
      <c r="B14" s="23" t="s">
        <v>110</v>
      </c>
      <c r="C14" s="23" t="s">
        <v>111</v>
      </c>
      <c r="D14" s="24" t="s">
        <v>112</v>
      </c>
      <c r="E14" s="23" t="s">
        <v>121</v>
      </c>
      <c r="F14" s="23" t="s">
        <v>113</v>
      </c>
      <c r="G14" s="23" t="s">
        <v>119</v>
      </c>
      <c r="H14" s="23" t="s">
        <v>115</v>
      </c>
      <c r="I14" s="23" t="s">
        <v>120</v>
      </c>
      <c r="L14" s="20" t="s">
        <v>77</v>
      </c>
    </row>
    <row r="15" spans="1:12" x14ac:dyDescent="0.3">
      <c r="A15" s="20" t="s">
        <v>69</v>
      </c>
      <c r="B15" s="20" t="s">
        <v>110</v>
      </c>
      <c r="C15" s="20" t="s">
        <v>111</v>
      </c>
      <c r="D15" s="25" t="s">
        <v>112</v>
      </c>
      <c r="E15" s="20" t="s">
        <v>110</v>
      </c>
      <c r="F15" s="20" t="s">
        <v>113</v>
      </c>
      <c r="G15" s="19" t="s">
        <v>119</v>
      </c>
      <c r="H15" s="20" t="s">
        <v>115</v>
      </c>
      <c r="I15" s="20" t="s">
        <v>116</v>
      </c>
      <c r="L15" s="20" t="s">
        <v>78</v>
      </c>
    </row>
    <row r="16" spans="1:12" x14ac:dyDescent="0.3">
      <c r="A16" s="23" t="s">
        <v>69</v>
      </c>
      <c r="B16" s="23" t="s">
        <v>110</v>
      </c>
      <c r="C16" s="23" t="s">
        <v>111</v>
      </c>
      <c r="D16" s="24" t="s">
        <v>112</v>
      </c>
      <c r="E16" s="23" t="s">
        <v>117</v>
      </c>
      <c r="F16" s="23" t="s">
        <v>113</v>
      </c>
      <c r="G16" s="23" t="s">
        <v>119</v>
      </c>
      <c r="H16" s="23" t="s">
        <v>115</v>
      </c>
      <c r="I16" s="23" t="s">
        <v>116</v>
      </c>
      <c r="L16" s="20" t="s">
        <v>79</v>
      </c>
    </row>
    <row r="17" spans="1:12" x14ac:dyDescent="0.3">
      <c r="A17" s="20" t="s">
        <v>69</v>
      </c>
      <c r="B17" s="20" t="s">
        <v>110</v>
      </c>
      <c r="C17" s="20" t="s">
        <v>111</v>
      </c>
      <c r="D17" s="25" t="s">
        <v>112</v>
      </c>
      <c r="E17" s="20" t="s">
        <v>118</v>
      </c>
      <c r="F17" s="20" t="s">
        <v>113</v>
      </c>
      <c r="G17" s="19" t="s">
        <v>119</v>
      </c>
      <c r="H17" s="20" t="s">
        <v>115</v>
      </c>
      <c r="I17" s="20" t="s">
        <v>120</v>
      </c>
      <c r="L17" s="20" t="s">
        <v>80</v>
      </c>
    </row>
    <row r="18" spans="1:12" x14ac:dyDescent="0.3">
      <c r="A18" s="23" t="s">
        <v>69</v>
      </c>
      <c r="B18" s="23" t="s">
        <v>110</v>
      </c>
      <c r="C18" s="23" t="s">
        <v>111</v>
      </c>
      <c r="D18" s="24" t="s">
        <v>112</v>
      </c>
      <c r="E18" s="23" t="s">
        <v>121</v>
      </c>
      <c r="F18" s="23" t="s">
        <v>113</v>
      </c>
      <c r="G18" s="23" t="s">
        <v>119</v>
      </c>
      <c r="H18" s="23" t="s">
        <v>115</v>
      </c>
      <c r="I18" s="23" t="s">
        <v>120</v>
      </c>
      <c r="L18" s="20" t="s">
        <v>81</v>
      </c>
    </row>
    <row r="19" spans="1:12" x14ac:dyDescent="0.3">
      <c r="A19" s="20" t="s">
        <v>70</v>
      </c>
      <c r="B19" s="20" t="s">
        <v>110</v>
      </c>
      <c r="C19" s="20" t="s">
        <v>111</v>
      </c>
      <c r="D19" s="25" t="s">
        <v>112</v>
      </c>
      <c r="E19" s="20" t="s">
        <v>110</v>
      </c>
      <c r="F19" s="20" t="s">
        <v>113</v>
      </c>
      <c r="G19" s="19" t="s">
        <v>119</v>
      </c>
      <c r="H19" s="20" t="s">
        <v>115</v>
      </c>
      <c r="I19" s="20" t="s">
        <v>116</v>
      </c>
      <c r="L19" s="20" t="s">
        <v>82</v>
      </c>
    </row>
    <row r="20" spans="1:12" x14ac:dyDescent="0.3">
      <c r="A20" s="23" t="s">
        <v>70</v>
      </c>
      <c r="B20" s="23" t="s">
        <v>110</v>
      </c>
      <c r="C20" s="23" t="s">
        <v>111</v>
      </c>
      <c r="D20" s="24" t="s">
        <v>112</v>
      </c>
      <c r="E20" s="23" t="s">
        <v>117</v>
      </c>
      <c r="F20" s="23" t="s">
        <v>113</v>
      </c>
      <c r="G20" s="23" t="s">
        <v>119</v>
      </c>
      <c r="H20" s="23" t="s">
        <v>115</v>
      </c>
      <c r="I20" s="23" t="s">
        <v>116</v>
      </c>
      <c r="L20" s="20" t="s">
        <v>83</v>
      </c>
    </row>
    <row r="21" spans="1:12" x14ac:dyDescent="0.3">
      <c r="A21" s="20" t="s">
        <v>70</v>
      </c>
      <c r="B21" s="20" t="s">
        <v>110</v>
      </c>
      <c r="C21" s="20" t="s">
        <v>111</v>
      </c>
      <c r="D21" s="25" t="s">
        <v>112</v>
      </c>
      <c r="E21" s="20" t="s">
        <v>118</v>
      </c>
      <c r="F21" s="20" t="s">
        <v>113</v>
      </c>
      <c r="G21" s="19" t="s">
        <v>119</v>
      </c>
      <c r="H21" s="20" t="s">
        <v>115</v>
      </c>
      <c r="I21" s="20" t="s">
        <v>120</v>
      </c>
      <c r="L21" s="20" t="s">
        <v>84</v>
      </c>
    </row>
    <row r="22" spans="1:12" x14ac:dyDescent="0.3">
      <c r="A22" s="23" t="s">
        <v>70</v>
      </c>
      <c r="B22" s="23" t="s">
        <v>110</v>
      </c>
      <c r="C22" s="23" t="s">
        <v>111</v>
      </c>
      <c r="D22" s="24" t="s">
        <v>112</v>
      </c>
      <c r="E22" s="23" t="s">
        <v>121</v>
      </c>
      <c r="F22" s="23" t="s">
        <v>113</v>
      </c>
      <c r="G22" s="23" t="s">
        <v>119</v>
      </c>
      <c r="H22" s="23" t="s">
        <v>115</v>
      </c>
      <c r="I22" s="23" t="s">
        <v>120</v>
      </c>
      <c r="L22" s="20" t="s">
        <v>85</v>
      </c>
    </row>
    <row r="23" spans="1:12" x14ac:dyDescent="0.3">
      <c r="A23" s="20" t="s">
        <v>71</v>
      </c>
      <c r="B23" s="20" t="s">
        <v>110</v>
      </c>
      <c r="C23" s="20" t="s">
        <v>111</v>
      </c>
      <c r="D23" s="25" t="s">
        <v>112</v>
      </c>
      <c r="E23" s="20" t="s">
        <v>110</v>
      </c>
      <c r="F23" s="20" t="s">
        <v>113</v>
      </c>
      <c r="G23" s="19" t="s">
        <v>119</v>
      </c>
      <c r="H23" s="20" t="s">
        <v>115</v>
      </c>
      <c r="I23" s="20" t="s">
        <v>116</v>
      </c>
      <c r="L23" s="20" t="s">
        <v>86</v>
      </c>
    </row>
    <row r="24" spans="1:12" x14ac:dyDescent="0.3">
      <c r="A24" s="23" t="s">
        <v>71</v>
      </c>
      <c r="B24" s="23" t="s">
        <v>110</v>
      </c>
      <c r="C24" s="23" t="s">
        <v>111</v>
      </c>
      <c r="D24" s="24" t="s">
        <v>112</v>
      </c>
      <c r="E24" s="23" t="s">
        <v>117</v>
      </c>
      <c r="F24" s="23" t="s">
        <v>113</v>
      </c>
      <c r="G24" s="23" t="s">
        <v>119</v>
      </c>
      <c r="H24" s="23" t="s">
        <v>115</v>
      </c>
      <c r="I24" s="23" t="s">
        <v>116</v>
      </c>
      <c r="L24" s="20" t="s">
        <v>87</v>
      </c>
    </row>
    <row r="25" spans="1:12" x14ac:dyDescent="0.3">
      <c r="A25" s="20" t="s">
        <v>71</v>
      </c>
      <c r="B25" s="20" t="s">
        <v>110</v>
      </c>
      <c r="C25" s="20" t="s">
        <v>111</v>
      </c>
      <c r="D25" s="25" t="s">
        <v>112</v>
      </c>
      <c r="E25" s="20" t="s">
        <v>118</v>
      </c>
      <c r="F25" s="20" t="s">
        <v>113</v>
      </c>
      <c r="G25" s="19" t="s">
        <v>119</v>
      </c>
      <c r="H25" s="20" t="s">
        <v>115</v>
      </c>
      <c r="I25" s="20" t="s">
        <v>120</v>
      </c>
      <c r="L25" s="20" t="s">
        <v>88</v>
      </c>
    </row>
    <row r="26" spans="1:12" x14ac:dyDescent="0.3">
      <c r="A26" s="23" t="s">
        <v>71</v>
      </c>
      <c r="B26" s="23" t="s">
        <v>110</v>
      </c>
      <c r="C26" s="23" t="s">
        <v>111</v>
      </c>
      <c r="D26" s="24" t="s">
        <v>112</v>
      </c>
      <c r="E26" s="23" t="s">
        <v>121</v>
      </c>
      <c r="F26" s="23" t="s">
        <v>113</v>
      </c>
      <c r="G26" s="23" t="s">
        <v>119</v>
      </c>
      <c r="H26" s="23" t="s">
        <v>115</v>
      </c>
      <c r="I26" s="23" t="s">
        <v>120</v>
      </c>
      <c r="L26" s="20" t="s">
        <v>89</v>
      </c>
    </row>
    <row r="27" spans="1:12" x14ac:dyDescent="0.3">
      <c r="A27" s="20" t="s">
        <v>72</v>
      </c>
      <c r="B27" s="20" t="s">
        <v>110</v>
      </c>
      <c r="C27" s="20" t="s">
        <v>111</v>
      </c>
      <c r="D27" s="25" t="s">
        <v>112</v>
      </c>
      <c r="E27" s="20" t="s">
        <v>110</v>
      </c>
      <c r="F27" s="20" t="s">
        <v>113</v>
      </c>
      <c r="G27" s="19" t="s">
        <v>119</v>
      </c>
      <c r="H27" s="20" t="s">
        <v>115</v>
      </c>
      <c r="I27" s="20" t="s">
        <v>116</v>
      </c>
      <c r="L27" s="20" t="s">
        <v>90</v>
      </c>
    </row>
    <row r="28" spans="1:12" x14ac:dyDescent="0.3">
      <c r="A28" s="23" t="s">
        <v>72</v>
      </c>
      <c r="B28" s="23" t="s">
        <v>110</v>
      </c>
      <c r="C28" s="23" t="s">
        <v>111</v>
      </c>
      <c r="D28" s="24" t="s">
        <v>112</v>
      </c>
      <c r="E28" s="23" t="s">
        <v>117</v>
      </c>
      <c r="F28" s="23" t="s">
        <v>113</v>
      </c>
      <c r="G28" s="23" t="s">
        <v>119</v>
      </c>
      <c r="H28" s="23" t="s">
        <v>115</v>
      </c>
      <c r="I28" s="23" t="s">
        <v>116</v>
      </c>
      <c r="L28" s="20" t="s">
        <v>91</v>
      </c>
    </row>
    <row r="29" spans="1:12" x14ac:dyDescent="0.3">
      <c r="A29" s="20" t="s">
        <v>72</v>
      </c>
      <c r="B29" s="20" t="s">
        <v>110</v>
      </c>
      <c r="C29" s="20" t="s">
        <v>111</v>
      </c>
      <c r="D29" s="25" t="s">
        <v>112</v>
      </c>
      <c r="E29" s="20" t="s">
        <v>118</v>
      </c>
      <c r="F29" s="20" t="s">
        <v>113</v>
      </c>
      <c r="G29" s="19" t="s">
        <v>119</v>
      </c>
      <c r="H29" s="20" t="s">
        <v>115</v>
      </c>
      <c r="I29" s="20" t="s">
        <v>120</v>
      </c>
      <c r="L29" s="20" t="s">
        <v>92</v>
      </c>
    </row>
    <row r="30" spans="1:12" x14ac:dyDescent="0.3">
      <c r="A30" s="23" t="s">
        <v>72</v>
      </c>
      <c r="B30" s="23" t="s">
        <v>110</v>
      </c>
      <c r="C30" s="23" t="s">
        <v>111</v>
      </c>
      <c r="D30" s="24" t="s">
        <v>112</v>
      </c>
      <c r="E30" s="23" t="s">
        <v>121</v>
      </c>
      <c r="F30" s="23" t="s">
        <v>113</v>
      </c>
      <c r="G30" s="23" t="s">
        <v>119</v>
      </c>
      <c r="H30" s="23" t="s">
        <v>115</v>
      </c>
      <c r="I30" s="23" t="s">
        <v>120</v>
      </c>
      <c r="L30" s="20" t="s">
        <v>93</v>
      </c>
    </row>
    <row r="31" spans="1:12" x14ac:dyDescent="0.3">
      <c r="A31" s="20" t="s">
        <v>73</v>
      </c>
      <c r="B31" s="20" t="s">
        <v>110</v>
      </c>
      <c r="C31" s="20" t="s">
        <v>111</v>
      </c>
      <c r="D31" s="25" t="s">
        <v>112</v>
      </c>
      <c r="E31" s="20" t="s">
        <v>110</v>
      </c>
      <c r="F31" s="20" t="s">
        <v>113</v>
      </c>
      <c r="G31" s="19" t="s">
        <v>119</v>
      </c>
      <c r="H31" s="20" t="s">
        <v>115</v>
      </c>
      <c r="I31" s="20" t="s">
        <v>116</v>
      </c>
      <c r="L31" s="20" t="s">
        <v>94</v>
      </c>
    </row>
    <row r="32" spans="1:12" x14ac:dyDescent="0.3">
      <c r="A32" s="23" t="s">
        <v>73</v>
      </c>
      <c r="B32" s="23" t="s">
        <v>110</v>
      </c>
      <c r="C32" s="23" t="s">
        <v>111</v>
      </c>
      <c r="D32" s="24" t="s">
        <v>112</v>
      </c>
      <c r="E32" s="23" t="s">
        <v>117</v>
      </c>
      <c r="F32" s="23" t="s">
        <v>113</v>
      </c>
      <c r="G32" s="23" t="s">
        <v>119</v>
      </c>
      <c r="H32" s="23" t="s">
        <v>115</v>
      </c>
      <c r="I32" s="23" t="s">
        <v>116</v>
      </c>
      <c r="L32" s="20" t="s">
        <v>95</v>
      </c>
    </row>
    <row r="33" spans="1:12" x14ac:dyDescent="0.3">
      <c r="A33" s="20" t="s">
        <v>73</v>
      </c>
      <c r="B33" s="20" t="s">
        <v>110</v>
      </c>
      <c r="C33" s="20" t="s">
        <v>111</v>
      </c>
      <c r="D33" s="25" t="s">
        <v>112</v>
      </c>
      <c r="E33" s="20" t="s">
        <v>118</v>
      </c>
      <c r="F33" s="20" t="s">
        <v>113</v>
      </c>
      <c r="G33" s="19" t="s">
        <v>119</v>
      </c>
      <c r="H33" s="20" t="s">
        <v>115</v>
      </c>
      <c r="I33" s="20" t="s">
        <v>120</v>
      </c>
      <c r="L33" s="20" t="s">
        <v>96</v>
      </c>
    </row>
    <row r="34" spans="1:12" x14ac:dyDescent="0.3">
      <c r="A34" s="23" t="s">
        <v>73</v>
      </c>
      <c r="B34" s="23" t="s">
        <v>110</v>
      </c>
      <c r="C34" s="23" t="s">
        <v>111</v>
      </c>
      <c r="D34" s="24" t="s">
        <v>112</v>
      </c>
      <c r="E34" s="23" t="s">
        <v>121</v>
      </c>
      <c r="F34" s="23" t="s">
        <v>113</v>
      </c>
      <c r="G34" s="23" t="s">
        <v>119</v>
      </c>
      <c r="H34" s="23" t="s">
        <v>115</v>
      </c>
      <c r="I34" s="23" t="s">
        <v>120</v>
      </c>
      <c r="L34" s="20" t="s">
        <v>97</v>
      </c>
    </row>
    <row r="35" spans="1:12" x14ac:dyDescent="0.3">
      <c r="A35" s="20" t="s">
        <v>74</v>
      </c>
      <c r="B35" s="20" t="s">
        <v>110</v>
      </c>
      <c r="C35" s="20" t="s">
        <v>111</v>
      </c>
      <c r="D35" s="25" t="s">
        <v>112</v>
      </c>
      <c r="E35" s="20" t="s">
        <v>110</v>
      </c>
      <c r="F35" s="20" t="s">
        <v>113</v>
      </c>
      <c r="G35" s="19" t="s">
        <v>119</v>
      </c>
      <c r="H35" s="20" t="s">
        <v>115</v>
      </c>
      <c r="I35" s="20" t="s">
        <v>116</v>
      </c>
      <c r="L35" s="20" t="s">
        <v>98</v>
      </c>
    </row>
    <row r="36" spans="1:12" x14ac:dyDescent="0.3">
      <c r="A36" s="23" t="s">
        <v>74</v>
      </c>
      <c r="B36" s="23" t="s">
        <v>110</v>
      </c>
      <c r="C36" s="23" t="s">
        <v>111</v>
      </c>
      <c r="D36" s="24" t="s">
        <v>112</v>
      </c>
      <c r="E36" s="23" t="s">
        <v>117</v>
      </c>
      <c r="F36" s="23" t="s">
        <v>113</v>
      </c>
      <c r="G36" s="23" t="s">
        <v>119</v>
      </c>
      <c r="H36" s="23" t="s">
        <v>115</v>
      </c>
      <c r="I36" s="23" t="s">
        <v>116</v>
      </c>
    </row>
    <row r="37" spans="1:12" x14ac:dyDescent="0.3">
      <c r="A37" s="20" t="s">
        <v>74</v>
      </c>
      <c r="B37" s="20" t="s">
        <v>110</v>
      </c>
      <c r="C37" s="20" t="s">
        <v>111</v>
      </c>
      <c r="D37" s="25" t="s">
        <v>112</v>
      </c>
      <c r="E37" s="20" t="s">
        <v>118</v>
      </c>
      <c r="F37" s="20" t="s">
        <v>113</v>
      </c>
      <c r="G37" s="19" t="s">
        <v>119</v>
      </c>
      <c r="H37" s="20" t="s">
        <v>115</v>
      </c>
      <c r="I37" s="20" t="s">
        <v>120</v>
      </c>
    </row>
    <row r="38" spans="1:12" x14ac:dyDescent="0.3">
      <c r="A38" s="23" t="s">
        <v>74</v>
      </c>
      <c r="B38" s="23" t="s">
        <v>110</v>
      </c>
      <c r="C38" s="23" t="s">
        <v>111</v>
      </c>
      <c r="D38" s="24" t="s">
        <v>112</v>
      </c>
      <c r="E38" s="23" t="s">
        <v>121</v>
      </c>
      <c r="F38" s="23" t="s">
        <v>113</v>
      </c>
      <c r="G38" s="23" t="s">
        <v>119</v>
      </c>
      <c r="H38" s="23" t="s">
        <v>115</v>
      </c>
      <c r="I38" s="23" t="s">
        <v>120</v>
      </c>
    </row>
    <row r="39" spans="1:12" x14ac:dyDescent="0.3">
      <c r="A39" s="20" t="s">
        <v>75</v>
      </c>
      <c r="B39" s="20" t="s">
        <v>110</v>
      </c>
      <c r="C39" s="20" t="s">
        <v>111</v>
      </c>
      <c r="D39" s="25" t="s">
        <v>112</v>
      </c>
      <c r="E39" s="20" t="s">
        <v>110</v>
      </c>
      <c r="F39" s="20" t="s">
        <v>113</v>
      </c>
      <c r="G39" s="19" t="s">
        <v>119</v>
      </c>
      <c r="H39" s="20" t="s">
        <v>115</v>
      </c>
      <c r="I39" s="20" t="s">
        <v>122</v>
      </c>
    </row>
    <row r="40" spans="1:12" x14ac:dyDescent="0.3">
      <c r="A40" s="23" t="s">
        <v>75</v>
      </c>
      <c r="B40" s="23" t="s">
        <v>110</v>
      </c>
      <c r="C40" s="23" t="s">
        <v>111</v>
      </c>
      <c r="D40" s="24" t="s">
        <v>112</v>
      </c>
      <c r="E40" s="23" t="s">
        <v>117</v>
      </c>
      <c r="F40" s="23" t="s">
        <v>113</v>
      </c>
      <c r="G40" s="23" t="s">
        <v>119</v>
      </c>
      <c r="H40" s="23" t="s">
        <v>115</v>
      </c>
      <c r="I40" s="23" t="s">
        <v>122</v>
      </c>
    </row>
    <row r="41" spans="1:12" x14ac:dyDescent="0.3">
      <c r="A41" s="20" t="s">
        <v>75</v>
      </c>
      <c r="B41" s="20" t="s">
        <v>110</v>
      </c>
      <c r="C41" s="20" t="s">
        <v>111</v>
      </c>
      <c r="D41" s="25" t="s">
        <v>112</v>
      </c>
      <c r="E41" s="20" t="s">
        <v>118</v>
      </c>
      <c r="F41" s="20" t="s">
        <v>113</v>
      </c>
      <c r="G41" s="19" t="s">
        <v>119</v>
      </c>
      <c r="H41" s="20" t="s">
        <v>115</v>
      </c>
      <c r="I41" s="20" t="s">
        <v>120</v>
      </c>
    </row>
    <row r="42" spans="1:12" x14ac:dyDescent="0.3">
      <c r="A42" s="23" t="s">
        <v>75</v>
      </c>
      <c r="B42" s="23" t="s">
        <v>110</v>
      </c>
      <c r="C42" s="23" t="s">
        <v>111</v>
      </c>
      <c r="D42" s="24" t="s">
        <v>112</v>
      </c>
      <c r="E42" s="23" t="s">
        <v>121</v>
      </c>
      <c r="F42" s="23" t="s">
        <v>113</v>
      </c>
      <c r="G42" s="23" t="s">
        <v>119</v>
      </c>
      <c r="H42" s="23" t="s">
        <v>115</v>
      </c>
      <c r="I42" s="23" t="s">
        <v>120</v>
      </c>
    </row>
    <row r="43" spans="1:12" x14ac:dyDescent="0.3">
      <c r="A43" s="20" t="s">
        <v>76</v>
      </c>
      <c r="B43" s="20" t="s">
        <v>110</v>
      </c>
      <c r="C43" s="20" t="s">
        <v>111</v>
      </c>
      <c r="D43" s="25" t="s">
        <v>112</v>
      </c>
      <c r="E43" s="20" t="s">
        <v>110</v>
      </c>
      <c r="F43" s="20" t="s">
        <v>113</v>
      </c>
      <c r="G43" s="19" t="s">
        <v>119</v>
      </c>
      <c r="H43" s="20" t="s">
        <v>115</v>
      </c>
      <c r="I43" s="20" t="s">
        <v>122</v>
      </c>
    </row>
    <row r="44" spans="1:12" x14ac:dyDescent="0.3">
      <c r="A44" s="23" t="s">
        <v>76</v>
      </c>
      <c r="B44" s="23" t="s">
        <v>110</v>
      </c>
      <c r="C44" s="23" t="s">
        <v>111</v>
      </c>
      <c r="D44" s="24" t="s">
        <v>112</v>
      </c>
      <c r="E44" s="23" t="s">
        <v>117</v>
      </c>
      <c r="F44" s="23" t="s">
        <v>113</v>
      </c>
      <c r="G44" s="23" t="s">
        <v>119</v>
      </c>
      <c r="H44" s="23" t="s">
        <v>115</v>
      </c>
      <c r="I44" s="23" t="s">
        <v>122</v>
      </c>
    </row>
    <row r="45" spans="1:12" x14ac:dyDescent="0.3">
      <c r="A45" s="20" t="s">
        <v>76</v>
      </c>
      <c r="B45" s="20" t="s">
        <v>110</v>
      </c>
      <c r="C45" s="20" t="s">
        <v>111</v>
      </c>
      <c r="D45" s="25" t="s">
        <v>112</v>
      </c>
      <c r="E45" s="20" t="s">
        <v>118</v>
      </c>
      <c r="F45" s="20" t="s">
        <v>113</v>
      </c>
      <c r="G45" s="19" t="s">
        <v>119</v>
      </c>
      <c r="H45" s="20" t="s">
        <v>115</v>
      </c>
      <c r="I45" s="20" t="s">
        <v>120</v>
      </c>
    </row>
    <row r="46" spans="1:12" x14ac:dyDescent="0.3">
      <c r="A46" s="23" t="s">
        <v>76</v>
      </c>
      <c r="B46" s="23" t="s">
        <v>110</v>
      </c>
      <c r="C46" s="23" t="s">
        <v>111</v>
      </c>
      <c r="D46" s="24" t="s">
        <v>112</v>
      </c>
      <c r="E46" s="23" t="s">
        <v>121</v>
      </c>
      <c r="F46" s="23" t="s">
        <v>113</v>
      </c>
      <c r="G46" s="23" t="s">
        <v>119</v>
      </c>
      <c r="H46" s="23" t="s">
        <v>115</v>
      </c>
      <c r="I46" s="23" t="s">
        <v>120</v>
      </c>
    </row>
    <row r="47" spans="1:12" x14ac:dyDescent="0.3">
      <c r="A47" s="20" t="s">
        <v>77</v>
      </c>
      <c r="B47" s="20" t="s">
        <v>110</v>
      </c>
      <c r="C47" s="20" t="s">
        <v>111</v>
      </c>
      <c r="D47" s="25" t="s">
        <v>112</v>
      </c>
      <c r="E47" s="20" t="s">
        <v>110</v>
      </c>
      <c r="F47" s="20" t="s">
        <v>113</v>
      </c>
      <c r="G47" s="19" t="s">
        <v>119</v>
      </c>
      <c r="H47" s="20" t="s">
        <v>115</v>
      </c>
      <c r="I47" s="20" t="s">
        <v>122</v>
      </c>
    </row>
    <row r="48" spans="1:12" x14ac:dyDescent="0.3">
      <c r="A48" s="23" t="s">
        <v>77</v>
      </c>
      <c r="B48" s="23" t="s">
        <v>110</v>
      </c>
      <c r="C48" s="23" t="s">
        <v>111</v>
      </c>
      <c r="D48" s="24" t="s">
        <v>112</v>
      </c>
      <c r="E48" s="23" t="s">
        <v>117</v>
      </c>
      <c r="F48" s="23" t="s">
        <v>113</v>
      </c>
      <c r="G48" s="23" t="s">
        <v>119</v>
      </c>
      <c r="H48" s="23" t="s">
        <v>115</v>
      </c>
      <c r="I48" s="23" t="s">
        <v>122</v>
      </c>
    </row>
    <row r="49" spans="1:9" x14ac:dyDescent="0.3">
      <c r="A49" s="20" t="s">
        <v>77</v>
      </c>
      <c r="B49" s="20" t="s">
        <v>110</v>
      </c>
      <c r="C49" s="20" t="s">
        <v>111</v>
      </c>
      <c r="D49" s="25" t="s">
        <v>112</v>
      </c>
      <c r="E49" s="20" t="s">
        <v>118</v>
      </c>
      <c r="F49" s="20" t="s">
        <v>113</v>
      </c>
      <c r="G49" s="19" t="s">
        <v>119</v>
      </c>
      <c r="H49" s="20" t="s">
        <v>115</v>
      </c>
      <c r="I49" s="20" t="s">
        <v>120</v>
      </c>
    </row>
    <row r="50" spans="1:9" x14ac:dyDescent="0.3">
      <c r="A50" s="23" t="s">
        <v>77</v>
      </c>
      <c r="B50" s="23" t="s">
        <v>110</v>
      </c>
      <c r="C50" s="23" t="s">
        <v>111</v>
      </c>
      <c r="D50" s="24" t="s">
        <v>112</v>
      </c>
      <c r="E50" s="23" t="s">
        <v>121</v>
      </c>
      <c r="F50" s="23" t="s">
        <v>113</v>
      </c>
      <c r="G50" s="23" t="s">
        <v>119</v>
      </c>
      <c r="H50" s="23" t="s">
        <v>115</v>
      </c>
      <c r="I50" s="23" t="s">
        <v>120</v>
      </c>
    </row>
    <row r="51" spans="1:9" x14ac:dyDescent="0.3">
      <c r="A51" s="20" t="s">
        <v>78</v>
      </c>
      <c r="B51" s="20" t="s">
        <v>110</v>
      </c>
      <c r="C51" s="20" t="s">
        <v>111</v>
      </c>
      <c r="D51" s="25" t="s">
        <v>112</v>
      </c>
      <c r="E51" s="20" t="s">
        <v>110</v>
      </c>
      <c r="F51" s="20" t="s">
        <v>113</v>
      </c>
      <c r="G51" s="19" t="s">
        <v>119</v>
      </c>
      <c r="H51" s="20" t="s">
        <v>115</v>
      </c>
      <c r="I51" s="20" t="s">
        <v>122</v>
      </c>
    </row>
    <row r="52" spans="1:9" x14ac:dyDescent="0.3">
      <c r="A52" s="23" t="s">
        <v>78</v>
      </c>
      <c r="B52" s="23" t="s">
        <v>110</v>
      </c>
      <c r="C52" s="23" t="s">
        <v>111</v>
      </c>
      <c r="D52" s="24" t="s">
        <v>112</v>
      </c>
      <c r="E52" s="23" t="s">
        <v>117</v>
      </c>
      <c r="F52" s="23" t="s">
        <v>113</v>
      </c>
      <c r="G52" s="23" t="s">
        <v>119</v>
      </c>
      <c r="H52" s="23" t="s">
        <v>115</v>
      </c>
      <c r="I52" s="23" t="s">
        <v>122</v>
      </c>
    </row>
    <row r="53" spans="1:9" x14ac:dyDescent="0.3">
      <c r="A53" s="20" t="s">
        <v>78</v>
      </c>
      <c r="B53" s="20" t="s">
        <v>110</v>
      </c>
      <c r="C53" s="20" t="s">
        <v>111</v>
      </c>
      <c r="D53" s="25" t="s">
        <v>112</v>
      </c>
      <c r="E53" s="20" t="s">
        <v>118</v>
      </c>
      <c r="F53" s="20" t="s">
        <v>113</v>
      </c>
      <c r="G53" s="19" t="s">
        <v>119</v>
      </c>
      <c r="H53" s="20" t="s">
        <v>115</v>
      </c>
      <c r="I53" s="20" t="s">
        <v>120</v>
      </c>
    </row>
    <row r="54" spans="1:9" x14ac:dyDescent="0.3">
      <c r="A54" s="23" t="s">
        <v>78</v>
      </c>
      <c r="B54" s="23" t="s">
        <v>110</v>
      </c>
      <c r="C54" s="23" t="s">
        <v>111</v>
      </c>
      <c r="D54" s="24" t="s">
        <v>112</v>
      </c>
      <c r="E54" s="23" t="s">
        <v>121</v>
      </c>
      <c r="F54" s="23" t="s">
        <v>113</v>
      </c>
      <c r="G54" s="23" t="s">
        <v>119</v>
      </c>
      <c r="H54" s="23" t="s">
        <v>115</v>
      </c>
      <c r="I54" s="23" t="s">
        <v>120</v>
      </c>
    </row>
    <row r="55" spans="1:9" x14ac:dyDescent="0.3">
      <c r="A55" s="20" t="s">
        <v>79</v>
      </c>
      <c r="B55" s="20" t="s">
        <v>110</v>
      </c>
      <c r="C55" s="20" t="s">
        <v>111</v>
      </c>
      <c r="D55" s="25" t="s">
        <v>112</v>
      </c>
      <c r="E55" s="20" t="s">
        <v>110</v>
      </c>
      <c r="F55" s="20" t="s">
        <v>113</v>
      </c>
      <c r="G55" s="19" t="s">
        <v>119</v>
      </c>
      <c r="H55" s="20" t="s">
        <v>115</v>
      </c>
      <c r="I55" s="20" t="s">
        <v>122</v>
      </c>
    </row>
    <row r="56" spans="1:9" x14ac:dyDescent="0.3">
      <c r="A56" s="23" t="s">
        <v>79</v>
      </c>
      <c r="B56" s="23" t="s">
        <v>110</v>
      </c>
      <c r="C56" s="23" t="s">
        <v>111</v>
      </c>
      <c r="D56" s="24" t="s">
        <v>112</v>
      </c>
      <c r="E56" s="23" t="s">
        <v>117</v>
      </c>
      <c r="F56" s="23" t="s">
        <v>113</v>
      </c>
      <c r="G56" s="23" t="s">
        <v>119</v>
      </c>
      <c r="H56" s="23" t="s">
        <v>115</v>
      </c>
      <c r="I56" s="23" t="s">
        <v>122</v>
      </c>
    </row>
    <row r="57" spans="1:9" x14ac:dyDescent="0.3">
      <c r="A57" s="20" t="s">
        <v>79</v>
      </c>
      <c r="B57" s="20" t="s">
        <v>110</v>
      </c>
      <c r="C57" s="20" t="s">
        <v>111</v>
      </c>
      <c r="D57" s="25" t="s">
        <v>112</v>
      </c>
      <c r="E57" s="20" t="s">
        <v>118</v>
      </c>
      <c r="F57" s="20" t="s">
        <v>113</v>
      </c>
      <c r="G57" s="19" t="s">
        <v>119</v>
      </c>
      <c r="H57" s="20" t="s">
        <v>115</v>
      </c>
      <c r="I57" s="20" t="s">
        <v>120</v>
      </c>
    </row>
    <row r="58" spans="1:9" x14ac:dyDescent="0.3">
      <c r="A58" s="23" t="s">
        <v>79</v>
      </c>
      <c r="B58" s="23" t="s">
        <v>110</v>
      </c>
      <c r="C58" s="23" t="s">
        <v>111</v>
      </c>
      <c r="D58" s="24" t="s">
        <v>112</v>
      </c>
      <c r="E58" s="23" t="s">
        <v>121</v>
      </c>
      <c r="F58" s="23" t="s">
        <v>113</v>
      </c>
      <c r="G58" s="23" t="s">
        <v>119</v>
      </c>
      <c r="H58" s="23" t="s">
        <v>115</v>
      </c>
      <c r="I58" s="23" t="s">
        <v>120</v>
      </c>
    </row>
    <row r="59" spans="1:9" x14ac:dyDescent="0.3">
      <c r="A59" s="20" t="s">
        <v>80</v>
      </c>
      <c r="B59" s="20" t="s">
        <v>110</v>
      </c>
      <c r="C59" s="20" t="s">
        <v>111</v>
      </c>
      <c r="D59" s="25" t="s">
        <v>112</v>
      </c>
      <c r="E59" s="20" t="s">
        <v>110</v>
      </c>
      <c r="F59" s="20" t="s">
        <v>113</v>
      </c>
      <c r="G59" s="19" t="s">
        <v>119</v>
      </c>
      <c r="H59" s="20" t="s">
        <v>115</v>
      </c>
      <c r="I59" s="20" t="s">
        <v>122</v>
      </c>
    </row>
    <row r="60" spans="1:9" x14ac:dyDescent="0.3">
      <c r="A60" s="23" t="s">
        <v>80</v>
      </c>
      <c r="B60" s="23" t="s">
        <v>110</v>
      </c>
      <c r="C60" s="23" t="s">
        <v>111</v>
      </c>
      <c r="D60" s="24" t="s">
        <v>112</v>
      </c>
      <c r="E60" s="23" t="s">
        <v>117</v>
      </c>
      <c r="F60" s="23" t="s">
        <v>113</v>
      </c>
      <c r="G60" s="23" t="s">
        <v>119</v>
      </c>
      <c r="H60" s="23" t="s">
        <v>115</v>
      </c>
      <c r="I60" s="23" t="s">
        <v>122</v>
      </c>
    </row>
    <row r="61" spans="1:9" x14ac:dyDescent="0.3">
      <c r="A61" s="20" t="s">
        <v>80</v>
      </c>
      <c r="B61" s="20" t="s">
        <v>110</v>
      </c>
      <c r="C61" s="20" t="s">
        <v>111</v>
      </c>
      <c r="D61" s="25" t="s">
        <v>112</v>
      </c>
      <c r="E61" s="20" t="s">
        <v>118</v>
      </c>
      <c r="F61" s="20" t="s">
        <v>113</v>
      </c>
      <c r="G61" s="19" t="s">
        <v>119</v>
      </c>
      <c r="H61" s="20" t="s">
        <v>115</v>
      </c>
      <c r="I61" s="20" t="s">
        <v>120</v>
      </c>
    </row>
    <row r="62" spans="1:9" x14ac:dyDescent="0.3">
      <c r="A62" s="23" t="s">
        <v>80</v>
      </c>
      <c r="B62" s="23" t="s">
        <v>110</v>
      </c>
      <c r="C62" s="23" t="s">
        <v>111</v>
      </c>
      <c r="D62" s="24" t="s">
        <v>112</v>
      </c>
      <c r="E62" s="23" t="s">
        <v>121</v>
      </c>
      <c r="F62" s="23" t="s">
        <v>113</v>
      </c>
      <c r="G62" s="23" t="s">
        <v>119</v>
      </c>
      <c r="H62" s="23" t="s">
        <v>115</v>
      </c>
      <c r="I62" s="23" t="s">
        <v>120</v>
      </c>
    </row>
    <row r="63" spans="1:9" x14ac:dyDescent="0.3">
      <c r="A63" s="20" t="s">
        <v>81</v>
      </c>
      <c r="B63" s="20" t="s">
        <v>110</v>
      </c>
      <c r="C63" s="20" t="s">
        <v>111</v>
      </c>
      <c r="D63" s="25" t="s">
        <v>112</v>
      </c>
      <c r="E63" s="20" t="s">
        <v>110</v>
      </c>
      <c r="F63" s="20" t="s">
        <v>113</v>
      </c>
      <c r="G63" s="19" t="s">
        <v>119</v>
      </c>
      <c r="H63" s="20" t="s">
        <v>115</v>
      </c>
      <c r="I63" s="20" t="s">
        <v>122</v>
      </c>
    </row>
    <row r="64" spans="1:9" x14ac:dyDescent="0.3">
      <c r="A64" s="23" t="s">
        <v>81</v>
      </c>
      <c r="B64" s="23" t="s">
        <v>110</v>
      </c>
      <c r="C64" s="23" t="s">
        <v>111</v>
      </c>
      <c r="D64" s="24" t="s">
        <v>112</v>
      </c>
      <c r="E64" s="23" t="s">
        <v>117</v>
      </c>
      <c r="F64" s="23" t="s">
        <v>113</v>
      </c>
      <c r="G64" s="23" t="s">
        <v>119</v>
      </c>
      <c r="H64" s="23" t="s">
        <v>115</v>
      </c>
      <c r="I64" s="23" t="s">
        <v>122</v>
      </c>
    </row>
    <row r="65" spans="1:9" x14ac:dyDescent="0.3">
      <c r="A65" s="20" t="s">
        <v>81</v>
      </c>
      <c r="B65" s="20" t="s">
        <v>110</v>
      </c>
      <c r="C65" s="20" t="s">
        <v>111</v>
      </c>
      <c r="D65" s="25" t="s">
        <v>112</v>
      </c>
      <c r="E65" s="20" t="s">
        <v>118</v>
      </c>
      <c r="F65" s="20" t="s">
        <v>113</v>
      </c>
      <c r="G65" s="19" t="s">
        <v>119</v>
      </c>
      <c r="H65" s="20" t="s">
        <v>115</v>
      </c>
      <c r="I65" s="20" t="s">
        <v>120</v>
      </c>
    </row>
    <row r="66" spans="1:9" x14ac:dyDescent="0.3">
      <c r="A66" s="23" t="s">
        <v>81</v>
      </c>
      <c r="B66" s="23" t="s">
        <v>110</v>
      </c>
      <c r="C66" s="23" t="s">
        <v>111</v>
      </c>
      <c r="D66" s="24" t="s">
        <v>112</v>
      </c>
      <c r="E66" s="23" t="s">
        <v>121</v>
      </c>
      <c r="F66" s="23" t="s">
        <v>113</v>
      </c>
      <c r="G66" s="23" t="s">
        <v>123</v>
      </c>
      <c r="H66" s="23" t="s">
        <v>115</v>
      </c>
      <c r="I66" s="23" t="s">
        <v>120</v>
      </c>
    </row>
    <row r="67" spans="1:9" x14ac:dyDescent="0.3">
      <c r="A67" s="20" t="s">
        <v>82</v>
      </c>
      <c r="B67" s="20" t="s">
        <v>110</v>
      </c>
      <c r="C67" s="20" t="s">
        <v>111</v>
      </c>
      <c r="D67" s="25" t="s">
        <v>112</v>
      </c>
      <c r="E67" s="20" t="s">
        <v>110</v>
      </c>
      <c r="F67" s="20" t="s">
        <v>113</v>
      </c>
      <c r="G67" s="19" t="s">
        <v>119</v>
      </c>
      <c r="H67" s="20" t="s">
        <v>115</v>
      </c>
      <c r="I67" s="20" t="s">
        <v>122</v>
      </c>
    </row>
    <row r="68" spans="1:9" x14ac:dyDescent="0.3">
      <c r="A68" s="23" t="s">
        <v>82</v>
      </c>
      <c r="B68" s="23" t="s">
        <v>110</v>
      </c>
      <c r="C68" s="23" t="s">
        <v>111</v>
      </c>
      <c r="D68" s="24" t="s">
        <v>112</v>
      </c>
      <c r="E68" s="23" t="s">
        <v>117</v>
      </c>
      <c r="F68" s="23" t="s">
        <v>113</v>
      </c>
      <c r="G68" s="23" t="s">
        <v>124</v>
      </c>
      <c r="H68" s="23" t="s">
        <v>115</v>
      </c>
      <c r="I68" s="23" t="s">
        <v>122</v>
      </c>
    </row>
    <row r="69" spans="1:9" x14ac:dyDescent="0.3">
      <c r="A69" s="20" t="s">
        <v>82</v>
      </c>
      <c r="B69" s="20" t="s">
        <v>110</v>
      </c>
      <c r="C69" s="20" t="s">
        <v>111</v>
      </c>
      <c r="D69" s="25" t="s">
        <v>112</v>
      </c>
      <c r="E69" s="20" t="s">
        <v>118</v>
      </c>
      <c r="F69" s="20" t="s">
        <v>113</v>
      </c>
      <c r="G69" s="19" t="s">
        <v>119</v>
      </c>
      <c r="H69" s="20" t="s">
        <v>115</v>
      </c>
      <c r="I69" s="20" t="s">
        <v>120</v>
      </c>
    </row>
    <row r="70" spans="1:9" x14ac:dyDescent="0.3">
      <c r="A70" s="23" t="s">
        <v>82</v>
      </c>
      <c r="B70" s="23" t="s">
        <v>110</v>
      </c>
      <c r="C70" s="23" t="s">
        <v>111</v>
      </c>
      <c r="D70" s="24" t="s">
        <v>112</v>
      </c>
      <c r="E70" s="23" t="s">
        <v>121</v>
      </c>
      <c r="F70" s="23" t="s">
        <v>113</v>
      </c>
      <c r="G70" s="23" t="s">
        <v>119</v>
      </c>
      <c r="H70" s="23" t="s">
        <v>115</v>
      </c>
      <c r="I70" s="23" t="s">
        <v>120</v>
      </c>
    </row>
    <row r="71" spans="1:9" x14ac:dyDescent="0.3">
      <c r="A71" s="20" t="s">
        <v>83</v>
      </c>
      <c r="B71" s="20" t="s">
        <v>110</v>
      </c>
      <c r="C71" s="20" t="s">
        <v>111</v>
      </c>
      <c r="D71" s="25" t="s">
        <v>112</v>
      </c>
      <c r="E71" s="20" t="s">
        <v>110</v>
      </c>
      <c r="F71" s="20" t="s">
        <v>113</v>
      </c>
      <c r="G71" s="19" t="s">
        <v>119</v>
      </c>
      <c r="H71" s="20" t="s">
        <v>115</v>
      </c>
      <c r="I71" s="20" t="s">
        <v>122</v>
      </c>
    </row>
    <row r="72" spans="1:9" x14ac:dyDescent="0.3">
      <c r="A72" s="23" t="s">
        <v>83</v>
      </c>
      <c r="B72" s="23" t="s">
        <v>110</v>
      </c>
      <c r="C72" s="23" t="s">
        <v>111</v>
      </c>
      <c r="D72" s="24" t="s">
        <v>112</v>
      </c>
      <c r="E72" s="23" t="s">
        <v>117</v>
      </c>
      <c r="F72" s="23" t="s">
        <v>113</v>
      </c>
      <c r="G72" s="23" t="s">
        <v>119</v>
      </c>
      <c r="H72" s="23" t="s">
        <v>115</v>
      </c>
      <c r="I72" s="23" t="s">
        <v>125</v>
      </c>
    </row>
    <row r="73" spans="1:9" x14ac:dyDescent="0.3">
      <c r="A73" s="20" t="s">
        <v>83</v>
      </c>
      <c r="B73" s="20" t="s">
        <v>110</v>
      </c>
      <c r="C73" s="20" t="s">
        <v>111</v>
      </c>
      <c r="D73" s="25" t="s">
        <v>112</v>
      </c>
      <c r="E73" s="20" t="s">
        <v>118</v>
      </c>
      <c r="F73" s="20" t="s">
        <v>113</v>
      </c>
      <c r="G73" s="19" t="s">
        <v>126</v>
      </c>
      <c r="H73" s="20" t="s">
        <v>115</v>
      </c>
      <c r="I73" s="20" t="s">
        <v>120</v>
      </c>
    </row>
    <row r="74" spans="1:9" x14ac:dyDescent="0.3">
      <c r="A74" s="23" t="s">
        <v>83</v>
      </c>
      <c r="B74" s="23" t="s">
        <v>110</v>
      </c>
      <c r="C74" s="23" t="s">
        <v>111</v>
      </c>
      <c r="D74" s="24" t="s">
        <v>112</v>
      </c>
      <c r="E74" s="23" t="s">
        <v>121</v>
      </c>
      <c r="F74" s="23" t="s">
        <v>113</v>
      </c>
      <c r="G74" s="23" t="s">
        <v>119</v>
      </c>
      <c r="H74" s="23" t="s">
        <v>115</v>
      </c>
      <c r="I74" s="23" t="s">
        <v>120</v>
      </c>
    </row>
    <row r="75" spans="1:9" x14ac:dyDescent="0.3">
      <c r="A75" s="20" t="s">
        <v>84</v>
      </c>
      <c r="B75" s="20" t="s">
        <v>110</v>
      </c>
      <c r="C75" s="20" t="s">
        <v>111</v>
      </c>
      <c r="D75" s="25" t="s">
        <v>112</v>
      </c>
      <c r="E75" s="20" t="s">
        <v>110</v>
      </c>
      <c r="F75" s="20" t="s">
        <v>113</v>
      </c>
      <c r="G75" s="19" t="s">
        <v>119</v>
      </c>
      <c r="H75" s="20" t="s">
        <v>115</v>
      </c>
      <c r="I75" s="20" t="s">
        <v>125</v>
      </c>
    </row>
    <row r="76" spans="1:9" x14ac:dyDescent="0.3">
      <c r="A76" s="23" t="s">
        <v>84</v>
      </c>
      <c r="B76" s="23" t="s">
        <v>110</v>
      </c>
      <c r="C76" s="23" t="s">
        <v>111</v>
      </c>
      <c r="D76" s="24" t="s">
        <v>112</v>
      </c>
      <c r="E76" s="23" t="s">
        <v>117</v>
      </c>
      <c r="F76" s="23" t="s">
        <v>113</v>
      </c>
      <c r="G76" s="23" t="s">
        <v>119</v>
      </c>
      <c r="H76" s="23" t="s">
        <v>115</v>
      </c>
      <c r="I76" s="23" t="s">
        <v>125</v>
      </c>
    </row>
    <row r="77" spans="1:9" x14ac:dyDescent="0.3">
      <c r="A77" s="20" t="s">
        <v>84</v>
      </c>
      <c r="B77" s="20" t="s">
        <v>110</v>
      </c>
      <c r="C77" s="20" t="s">
        <v>111</v>
      </c>
      <c r="D77" s="25" t="s">
        <v>112</v>
      </c>
      <c r="E77" s="20" t="s">
        <v>118</v>
      </c>
      <c r="F77" s="20" t="s">
        <v>113</v>
      </c>
      <c r="G77" s="19" t="s">
        <v>119</v>
      </c>
      <c r="H77" s="20" t="s">
        <v>115</v>
      </c>
      <c r="I77" s="20" t="s">
        <v>120</v>
      </c>
    </row>
    <row r="78" spans="1:9" x14ac:dyDescent="0.3">
      <c r="A78" s="23" t="s">
        <v>84</v>
      </c>
      <c r="B78" s="23" t="s">
        <v>110</v>
      </c>
      <c r="C78" s="23" t="s">
        <v>111</v>
      </c>
      <c r="D78" s="24" t="s">
        <v>112</v>
      </c>
      <c r="E78" s="23" t="s">
        <v>121</v>
      </c>
      <c r="F78" s="23" t="s">
        <v>113</v>
      </c>
      <c r="G78" s="23" t="s">
        <v>119</v>
      </c>
      <c r="H78" s="23" t="s">
        <v>115</v>
      </c>
      <c r="I78" s="23" t="s">
        <v>120</v>
      </c>
    </row>
    <row r="79" spans="1:9" x14ac:dyDescent="0.3">
      <c r="A79" s="20" t="s">
        <v>85</v>
      </c>
      <c r="B79" s="20" t="s">
        <v>110</v>
      </c>
      <c r="C79" s="20" t="s">
        <v>111</v>
      </c>
      <c r="D79" s="25" t="s">
        <v>112</v>
      </c>
      <c r="E79" s="20" t="s">
        <v>110</v>
      </c>
      <c r="F79" s="20" t="s">
        <v>113</v>
      </c>
      <c r="G79" s="19" t="s">
        <v>119</v>
      </c>
      <c r="H79" s="20" t="s">
        <v>115</v>
      </c>
      <c r="I79" s="20" t="s">
        <v>125</v>
      </c>
    </row>
    <row r="80" spans="1:9" x14ac:dyDescent="0.3">
      <c r="A80" s="23" t="s">
        <v>85</v>
      </c>
      <c r="B80" s="23" t="s">
        <v>110</v>
      </c>
      <c r="C80" s="23" t="s">
        <v>111</v>
      </c>
      <c r="D80" s="24" t="s">
        <v>112</v>
      </c>
      <c r="E80" s="23" t="s">
        <v>117</v>
      </c>
      <c r="F80" s="23" t="s">
        <v>113</v>
      </c>
      <c r="G80" s="23" t="s">
        <v>119</v>
      </c>
      <c r="H80" s="23" t="s">
        <v>115</v>
      </c>
      <c r="I80" s="23" t="s">
        <v>125</v>
      </c>
    </row>
    <row r="81" spans="1:9" x14ac:dyDescent="0.3">
      <c r="A81" s="20" t="s">
        <v>85</v>
      </c>
      <c r="B81" s="20" t="s">
        <v>110</v>
      </c>
      <c r="C81" s="20" t="s">
        <v>111</v>
      </c>
      <c r="D81" s="25" t="s">
        <v>112</v>
      </c>
      <c r="E81" s="20" t="s">
        <v>118</v>
      </c>
      <c r="F81" s="20" t="s">
        <v>113</v>
      </c>
      <c r="G81" s="19" t="s">
        <v>119</v>
      </c>
      <c r="H81" s="20" t="s">
        <v>115</v>
      </c>
      <c r="I81" s="20" t="s">
        <v>120</v>
      </c>
    </row>
    <row r="82" spans="1:9" x14ac:dyDescent="0.3">
      <c r="A82" s="23" t="s">
        <v>85</v>
      </c>
      <c r="B82" s="23" t="s">
        <v>110</v>
      </c>
      <c r="C82" s="23" t="s">
        <v>111</v>
      </c>
      <c r="D82" s="24" t="s">
        <v>112</v>
      </c>
      <c r="E82" s="23" t="s">
        <v>121</v>
      </c>
      <c r="F82" s="23" t="s">
        <v>113</v>
      </c>
      <c r="G82" s="23" t="s">
        <v>119</v>
      </c>
      <c r="H82" s="23" t="s">
        <v>115</v>
      </c>
      <c r="I82" s="23" t="s">
        <v>120</v>
      </c>
    </row>
    <row r="83" spans="1:9" x14ac:dyDescent="0.3">
      <c r="A83" s="20" t="s">
        <v>86</v>
      </c>
      <c r="B83" s="20" t="s">
        <v>110</v>
      </c>
      <c r="C83" s="20" t="s">
        <v>111</v>
      </c>
      <c r="D83" s="25" t="s">
        <v>112</v>
      </c>
      <c r="E83" s="20" t="s">
        <v>110</v>
      </c>
      <c r="F83" s="20" t="s">
        <v>113</v>
      </c>
      <c r="G83" s="19" t="s">
        <v>119</v>
      </c>
      <c r="H83" s="20" t="s">
        <v>115</v>
      </c>
      <c r="I83" s="20" t="s">
        <v>125</v>
      </c>
    </row>
    <row r="84" spans="1:9" x14ac:dyDescent="0.3">
      <c r="A84" s="23" t="s">
        <v>86</v>
      </c>
      <c r="B84" s="23" t="s">
        <v>110</v>
      </c>
      <c r="C84" s="23" t="s">
        <v>111</v>
      </c>
      <c r="D84" s="24" t="s">
        <v>112</v>
      </c>
      <c r="E84" s="23" t="s">
        <v>117</v>
      </c>
      <c r="F84" s="23" t="s">
        <v>113</v>
      </c>
      <c r="G84" s="23" t="s">
        <v>119</v>
      </c>
      <c r="H84" s="23" t="s">
        <v>115</v>
      </c>
      <c r="I84" s="23" t="s">
        <v>125</v>
      </c>
    </row>
    <row r="85" spans="1:9" x14ac:dyDescent="0.3">
      <c r="A85" s="20" t="s">
        <v>86</v>
      </c>
      <c r="B85" s="20" t="s">
        <v>110</v>
      </c>
      <c r="C85" s="20" t="s">
        <v>111</v>
      </c>
      <c r="D85" s="25" t="s">
        <v>112</v>
      </c>
      <c r="E85" s="20" t="s">
        <v>118</v>
      </c>
      <c r="F85" s="20" t="s">
        <v>113</v>
      </c>
      <c r="G85" s="19" t="s">
        <v>119</v>
      </c>
      <c r="H85" s="20" t="s">
        <v>115</v>
      </c>
      <c r="I85" s="20" t="s">
        <v>120</v>
      </c>
    </row>
    <row r="86" spans="1:9" x14ac:dyDescent="0.3">
      <c r="A86" s="23" t="s">
        <v>86</v>
      </c>
      <c r="B86" s="23" t="s">
        <v>110</v>
      </c>
      <c r="C86" s="23" t="s">
        <v>111</v>
      </c>
      <c r="D86" s="24" t="s">
        <v>112</v>
      </c>
      <c r="E86" s="23" t="s">
        <v>121</v>
      </c>
      <c r="F86" s="23" t="s">
        <v>113</v>
      </c>
      <c r="G86" s="23" t="s">
        <v>119</v>
      </c>
      <c r="H86" s="23" t="s">
        <v>115</v>
      </c>
      <c r="I86" s="23" t="s">
        <v>120</v>
      </c>
    </row>
    <row r="87" spans="1:9" x14ac:dyDescent="0.3">
      <c r="A87" s="20" t="s">
        <v>87</v>
      </c>
      <c r="B87" s="20" t="s">
        <v>110</v>
      </c>
      <c r="C87" s="20" t="s">
        <v>111</v>
      </c>
      <c r="D87" s="25" t="s">
        <v>112</v>
      </c>
      <c r="E87" s="20" t="s">
        <v>110</v>
      </c>
      <c r="F87" s="20" t="s">
        <v>113</v>
      </c>
      <c r="G87" s="19" t="s">
        <v>119</v>
      </c>
      <c r="H87" s="20" t="s">
        <v>115</v>
      </c>
      <c r="I87" s="20" t="s">
        <v>125</v>
      </c>
    </row>
    <row r="88" spans="1:9" x14ac:dyDescent="0.3">
      <c r="A88" s="23" t="s">
        <v>87</v>
      </c>
      <c r="B88" s="23" t="s">
        <v>110</v>
      </c>
      <c r="C88" s="23" t="s">
        <v>111</v>
      </c>
      <c r="D88" s="24" t="s">
        <v>112</v>
      </c>
      <c r="E88" s="23" t="s">
        <v>117</v>
      </c>
      <c r="F88" s="23" t="s">
        <v>113</v>
      </c>
      <c r="G88" s="23" t="s">
        <v>119</v>
      </c>
      <c r="H88" s="23" t="s">
        <v>115</v>
      </c>
      <c r="I88" s="23" t="s">
        <v>125</v>
      </c>
    </row>
    <row r="89" spans="1:9" x14ac:dyDescent="0.3">
      <c r="A89" s="20" t="s">
        <v>87</v>
      </c>
      <c r="B89" s="20" t="s">
        <v>110</v>
      </c>
      <c r="C89" s="20" t="s">
        <v>111</v>
      </c>
      <c r="D89" s="25" t="s">
        <v>112</v>
      </c>
      <c r="E89" s="20" t="s">
        <v>118</v>
      </c>
      <c r="F89" s="20" t="s">
        <v>113</v>
      </c>
      <c r="G89" s="19" t="s">
        <v>119</v>
      </c>
      <c r="H89" s="20" t="s">
        <v>115</v>
      </c>
      <c r="I89" s="20" t="s">
        <v>120</v>
      </c>
    </row>
    <row r="90" spans="1:9" x14ac:dyDescent="0.3">
      <c r="A90" s="23" t="s">
        <v>87</v>
      </c>
      <c r="B90" s="23" t="s">
        <v>110</v>
      </c>
      <c r="C90" s="23" t="s">
        <v>111</v>
      </c>
      <c r="D90" s="24" t="s">
        <v>112</v>
      </c>
      <c r="E90" s="23" t="s">
        <v>121</v>
      </c>
      <c r="F90" s="23" t="s">
        <v>113</v>
      </c>
      <c r="G90" s="23" t="s">
        <v>119</v>
      </c>
      <c r="H90" s="23" t="s">
        <v>115</v>
      </c>
      <c r="I90" s="23" t="s">
        <v>120</v>
      </c>
    </row>
    <row r="91" spans="1:9" x14ac:dyDescent="0.3">
      <c r="A91" s="20" t="s">
        <v>88</v>
      </c>
      <c r="B91" s="20" t="s">
        <v>110</v>
      </c>
      <c r="C91" s="20" t="s">
        <v>111</v>
      </c>
      <c r="D91" s="25" t="s">
        <v>112</v>
      </c>
      <c r="E91" s="20" t="s">
        <v>110</v>
      </c>
      <c r="F91" s="20" t="s">
        <v>113</v>
      </c>
      <c r="G91" s="19" t="s">
        <v>119</v>
      </c>
      <c r="H91" s="20" t="s">
        <v>115</v>
      </c>
      <c r="I91" s="20" t="s">
        <v>125</v>
      </c>
    </row>
    <row r="92" spans="1:9" x14ac:dyDescent="0.3">
      <c r="A92" s="23" t="s">
        <v>88</v>
      </c>
      <c r="B92" s="23" t="s">
        <v>110</v>
      </c>
      <c r="C92" s="23" t="s">
        <v>111</v>
      </c>
      <c r="D92" s="24" t="s">
        <v>112</v>
      </c>
      <c r="E92" s="23" t="s">
        <v>117</v>
      </c>
      <c r="F92" s="23" t="s">
        <v>113</v>
      </c>
      <c r="G92" s="23" t="s">
        <v>119</v>
      </c>
      <c r="H92" s="23" t="s">
        <v>115</v>
      </c>
      <c r="I92" s="23" t="s">
        <v>125</v>
      </c>
    </row>
    <row r="93" spans="1:9" x14ac:dyDescent="0.3">
      <c r="A93" s="20" t="s">
        <v>88</v>
      </c>
      <c r="B93" s="20" t="s">
        <v>110</v>
      </c>
      <c r="C93" s="20" t="s">
        <v>111</v>
      </c>
      <c r="D93" s="25" t="s">
        <v>112</v>
      </c>
      <c r="E93" s="20" t="s">
        <v>118</v>
      </c>
      <c r="F93" s="20" t="s">
        <v>113</v>
      </c>
      <c r="G93" s="19" t="s">
        <v>119</v>
      </c>
      <c r="H93" s="20" t="s">
        <v>115</v>
      </c>
      <c r="I93" s="20" t="s">
        <v>120</v>
      </c>
    </row>
    <row r="94" spans="1:9" x14ac:dyDescent="0.3">
      <c r="A94" s="23" t="s">
        <v>88</v>
      </c>
      <c r="B94" s="23" t="s">
        <v>110</v>
      </c>
      <c r="C94" s="23" t="s">
        <v>111</v>
      </c>
      <c r="D94" s="24" t="s">
        <v>112</v>
      </c>
      <c r="E94" s="23" t="s">
        <v>121</v>
      </c>
      <c r="F94" s="23" t="s">
        <v>113</v>
      </c>
      <c r="G94" s="23" t="s">
        <v>119</v>
      </c>
      <c r="H94" s="23" t="s">
        <v>115</v>
      </c>
      <c r="I94" s="23" t="s">
        <v>120</v>
      </c>
    </row>
    <row r="95" spans="1:9" x14ac:dyDescent="0.3">
      <c r="A95" s="20" t="s">
        <v>89</v>
      </c>
      <c r="B95" s="20" t="s">
        <v>110</v>
      </c>
      <c r="C95" s="20" t="s">
        <v>111</v>
      </c>
      <c r="D95" s="25" t="s">
        <v>112</v>
      </c>
      <c r="E95" s="20" t="s">
        <v>110</v>
      </c>
      <c r="F95" s="20" t="s">
        <v>113</v>
      </c>
      <c r="G95" s="19" t="s">
        <v>119</v>
      </c>
      <c r="H95" s="20" t="s">
        <v>115</v>
      </c>
      <c r="I95" s="20" t="s">
        <v>125</v>
      </c>
    </row>
    <row r="96" spans="1:9" x14ac:dyDescent="0.3">
      <c r="A96" s="23" t="s">
        <v>89</v>
      </c>
      <c r="B96" s="23" t="s">
        <v>110</v>
      </c>
      <c r="C96" s="23" t="s">
        <v>111</v>
      </c>
      <c r="D96" s="24" t="s">
        <v>112</v>
      </c>
      <c r="E96" s="23" t="s">
        <v>117</v>
      </c>
      <c r="F96" s="23" t="s">
        <v>113</v>
      </c>
      <c r="G96" s="23" t="s">
        <v>119</v>
      </c>
      <c r="H96" s="23" t="s">
        <v>115</v>
      </c>
      <c r="I96" s="23" t="s">
        <v>125</v>
      </c>
    </row>
    <row r="97" spans="1:9" x14ac:dyDescent="0.3">
      <c r="A97" s="20" t="s">
        <v>89</v>
      </c>
      <c r="B97" s="20" t="s">
        <v>110</v>
      </c>
      <c r="C97" s="20" t="s">
        <v>111</v>
      </c>
      <c r="D97" s="25" t="s">
        <v>112</v>
      </c>
      <c r="E97" s="20" t="s">
        <v>118</v>
      </c>
      <c r="F97" s="20" t="s">
        <v>113</v>
      </c>
      <c r="G97" s="19" t="s">
        <v>119</v>
      </c>
      <c r="H97" s="20" t="s">
        <v>115</v>
      </c>
      <c r="I97" s="20" t="s">
        <v>120</v>
      </c>
    </row>
    <row r="98" spans="1:9" x14ac:dyDescent="0.3">
      <c r="A98" s="23" t="s">
        <v>89</v>
      </c>
      <c r="B98" s="23" t="s">
        <v>110</v>
      </c>
      <c r="C98" s="23" t="s">
        <v>111</v>
      </c>
      <c r="D98" s="24" t="s">
        <v>112</v>
      </c>
      <c r="E98" s="23" t="s">
        <v>121</v>
      </c>
      <c r="F98" s="23" t="s">
        <v>113</v>
      </c>
      <c r="G98" s="23" t="s">
        <v>119</v>
      </c>
      <c r="H98" s="23" t="s">
        <v>115</v>
      </c>
      <c r="I98" s="23" t="s">
        <v>120</v>
      </c>
    </row>
    <row r="99" spans="1:9" x14ac:dyDescent="0.3">
      <c r="A99" s="20" t="s">
        <v>90</v>
      </c>
      <c r="B99" s="20" t="s">
        <v>110</v>
      </c>
      <c r="C99" s="20" t="s">
        <v>111</v>
      </c>
      <c r="D99" s="25" t="s">
        <v>112</v>
      </c>
      <c r="E99" s="20" t="s">
        <v>110</v>
      </c>
      <c r="F99" s="20" t="s">
        <v>113</v>
      </c>
      <c r="G99" s="19" t="s">
        <v>119</v>
      </c>
      <c r="H99" s="20" t="s">
        <v>115</v>
      </c>
      <c r="I99" s="20" t="s">
        <v>125</v>
      </c>
    </row>
    <row r="100" spans="1:9" x14ac:dyDescent="0.3">
      <c r="A100" s="23" t="s">
        <v>90</v>
      </c>
      <c r="B100" s="23" t="s">
        <v>110</v>
      </c>
      <c r="C100" s="23" t="s">
        <v>111</v>
      </c>
      <c r="D100" s="24" t="s">
        <v>112</v>
      </c>
      <c r="E100" s="23" t="s">
        <v>117</v>
      </c>
      <c r="F100" s="23" t="s">
        <v>113</v>
      </c>
      <c r="G100" s="23" t="s">
        <v>119</v>
      </c>
      <c r="H100" s="23" t="s">
        <v>115</v>
      </c>
      <c r="I100" s="23" t="s">
        <v>125</v>
      </c>
    </row>
    <row r="101" spans="1:9" x14ac:dyDescent="0.3">
      <c r="A101" s="20" t="s">
        <v>90</v>
      </c>
      <c r="B101" s="20" t="s">
        <v>110</v>
      </c>
      <c r="C101" s="20" t="s">
        <v>111</v>
      </c>
      <c r="D101" s="25" t="s">
        <v>112</v>
      </c>
      <c r="E101" s="20" t="s">
        <v>118</v>
      </c>
      <c r="F101" s="20" t="s">
        <v>113</v>
      </c>
      <c r="G101" s="19" t="s">
        <v>119</v>
      </c>
      <c r="H101" s="20" t="s">
        <v>115</v>
      </c>
      <c r="I101" s="20" t="s">
        <v>120</v>
      </c>
    </row>
    <row r="102" spans="1:9" x14ac:dyDescent="0.3">
      <c r="A102" s="23" t="s">
        <v>90</v>
      </c>
      <c r="B102" s="23" t="s">
        <v>110</v>
      </c>
      <c r="C102" s="23" t="s">
        <v>111</v>
      </c>
      <c r="D102" s="24" t="s">
        <v>112</v>
      </c>
      <c r="E102" s="23" t="s">
        <v>121</v>
      </c>
      <c r="F102" s="23" t="s">
        <v>113</v>
      </c>
      <c r="G102" s="23" t="s">
        <v>119</v>
      </c>
      <c r="H102" s="23" t="s">
        <v>115</v>
      </c>
      <c r="I102" s="23" t="s">
        <v>120</v>
      </c>
    </row>
    <row r="103" spans="1:9" x14ac:dyDescent="0.3">
      <c r="A103" s="20" t="s">
        <v>91</v>
      </c>
      <c r="B103" s="20" t="s">
        <v>110</v>
      </c>
      <c r="C103" s="20" t="s">
        <v>111</v>
      </c>
      <c r="D103" s="25" t="s">
        <v>112</v>
      </c>
      <c r="E103" s="20" t="s">
        <v>110</v>
      </c>
      <c r="F103" s="20" t="s">
        <v>113</v>
      </c>
      <c r="G103" s="19" t="s">
        <v>119</v>
      </c>
      <c r="H103" s="20" t="s">
        <v>115</v>
      </c>
      <c r="I103" s="20" t="s">
        <v>125</v>
      </c>
    </row>
    <row r="104" spans="1:9" x14ac:dyDescent="0.3">
      <c r="A104" s="23" t="s">
        <v>91</v>
      </c>
      <c r="B104" s="23" t="s">
        <v>110</v>
      </c>
      <c r="C104" s="23" t="s">
        <v>111</v>
      </c>
      <c r="D104" s="24" t="s">
        <v>112</v>
      </c>
      <c r="E104" s="23" t="s">
        <v>117</v>
      </c>
      <c r="F104" s="23" t="s">
        <v>113</v>
      </c>
      <c r="G104" s="23" t="s">
        <v>119</v>
      </c>
      <c r="H104" s="23" t="s">
        <v>115</v>
      </c>
      <c r="I104" s="23" t="s">
        <v>125</v>
      </c>
    </row>
    <row r="105" spans="1:9" x14ac:dyDescent="0.3">
      <c r="A105" s="20" t="s">
        <v>91</v>
      </c>
      <c r="B105" s="20" t="s">
        <v>110</v>
      </c>
      <c r="C105" s="20" t="s">
        <v>111</v>
      </c>
      <c r="D105" s="25" t="s">
        <v>112</v>
      </c>
      <c r="E105" s="20" t="s">
        <v>118</v>
      </c>
      <c r="F105" s="20" t="s">
        <v>113</v>
      </c>
      <c r="G105" s="19" t="s">
        <v>119</v>
      </c>
      <c r="H105" s="20" t="s">
        <v>115</v>
      </c>
      <c r="I105" s="20" t="s">
        <v>120</v>
      </c>
    </row>
    <row r="106" spans="1:9" x14ac:dyDescent="0.3">
      <c r="A106" s="23" t="s">
        <v>91</v>
      </c>
      <c r="B106" s="23" t="s">
        <v>110</v>
      </c>
      <c r="C106" s="23" t="s">
        <v>111</v>
      </c>
      <c r="D106" s="24" t="s">
        <v>112</v>
      </c>
      <c r="E106" s="23" t="s">
        <v>121</v>
      </c>
      <c r="F106" s="23" t="s">
        <v>113</v>
      </c>
      <c r="G106" s="23" t="s">
        <v>119</v>
      </c>
      <c r="H106" s="23" t="s">
        <v>115</v>
      </c>
      <c r="I106" s="23" t="s">
        <v>120</v>
      </c>
    </row>
    <row r="107" spans="1:9" x14ac:dyDescent="0.3">
      <c r="A107" s="20" t="s">
        <v>92</v>
      </c>
      <c r="B107" s="20" t="s">
        <v>110</v>
      </c>
      <c r="C107" s="20" t="s">
        <v>111</v>
      </c>
      <c r="D107" s="25" t="s">
        <v>112</v>
      </c>
      <c r="E107" s="20" t="s">
        <v>110</v>
      </c>
      <c r="F107" s="20" t="s">
        <v>113</v>
      </c>
      <c r="G107" s="19" t="s">
        <v>119</v>
      </c>
      <c r="H107" s="20" t="s">
        <v>115</v>
      </c>
      <c r="I107" s="20" t="s">
        <v>120</v>
      </c>
    </row>
    <row r="108" spans="1:9" x14ac:dyDescent="0.3">
      <c r="A108" s="23" t="s">
        <v>92</v>
      </c>
      <c r="B108" s="23" t="s">
        <v>110</v>
      </c>
      <c r="C108" s="23" t="s">
        <v>111</v>
      </c>
      <c r="D108" s="24" t="s">
        <v>112</v>
      </c>
      <c r="E108" s="23" t="s">
        <v>117</v>
      </c>
      <c r="F108" s="23" t="s">
        <v>113</v>
      </c>
      <c r="G108" s="23" t="s">
        <v>119</v>
      </c>
      <c r="H108" s="23" t="s">
        <v>115</v>
      </c>
      <c r="I108" s="23" t="s">
        <v>120</v>
      </c>
    </row>
    <row r="109" spans="1:9" x14ac:dyDescent="0.3">
      <c r="A109" s="20" t="s">
        <v>92</v>
      </c>
      <c r="B109" s="20" t="s">
        <v>110</v>
      </c>
      <c r="C109" s="20" t="s">
        <v>111</v>
      </c>
      <c r="D109" s="25" t="s">
        <v>112</v>
      </c>
      <c r="E109" s="20" t="s">
        <v>118</v>
      </c>
      <c r="F109" s="20" t="s">
        <v>113</v>
      </c>
      <c r="G109" s="19" t="s">
        <v>119</v>
      </c>
      <c r="H109" s="20" t="s">
        <v>115</v>
      </c>
      <c r="I109" s="20" t="s">
        <v>120</v>
      </c>
    </row>
    <row r="110" spans="1:9" x14ac:dyDescent="0.3">
      <c r="A110" s="23" t="s">
        <v>92</v>
      </c>
      <c r="B110" s="23" t="s">
        <v>110</v>
      </c>
      <c r="C110" s="23" t="s">
        <v>111</v>
      </c>
      <c r="D110" s="24" t="s">
        <v>112</v>
      </c>
      <c r="E110" s="23" t="s">
        <v>121</v>
      </c>
      <c r="F110" s="23" t="s">
        <v>113</v>
      </c>
      <c r="G110" s="23" t="s">
        <v>119</v>
      </c>
      <c r="H110" s="23" t="s">
        <v>115</v>
      </c>
      <c r="I110" s="23" t="s">
        <v>120</v>
      </c>
    </row>
    <row r="111" spans="1:9" x14ac:dyDescent="0.3">
      <c r="A111" s="20" t="s">
        <v>93</v>
      </c>
      <c r="B111" s="20" t="s">
        <v>110</v>
      </c>
      <c r="C111" s="20" t="s">
        <v>111</v>
      </c>
      <c r="D111" s="25" t="s">
        <v>112</v>
      </c>
      <c r="E111" s="20" t="s">
        <v>110</v>
      </c>
      <c r="F111" s="20" t="s">
        <v>113</v>
      </c>
      <c r="G111" s="19" t="s">
        <v>119</v>
      </c>
      <c r="H111" s="20" t="s">
        <v>115</v>
      </c>
      <c r="I111" s="20" t="s">
        <v>120</v>
      </c>
    </row>
    <row r="112" spans="1:9" x14ac:dyDescent="0.3">
      <c r="A112" s="23" t="s">
        <v>93</v>
      </c>
      <c r="B112" s="23" t="s">
        <v>110</v>
      </c>
      <c r="C112" s="23" t="s">
        <v>111</v>
      </c>
      <c r="D112" s="24" t="s">
        <v>112</v>
      </c>
      <c r="E112" s="23" t="s">
        <v>117</v>
      </c>
      <c r="F112" s="23" t="s">
        <v>113</v>
      </c>
      <c r="G112" s="23" t="s">
        <v>119</v>
      </c>
      <c r="H112" s="23" t="s">
        <v>115</v>
      </c>
      <c r="I112" s="23" t="s">
        <v>120</v>
      </c>
    </row>
    <row r="113" spans="1:9" x14ac:dyDescent="0.3">
      <c r="A113" s="20" t="s">
        <v>93</v>
      </c>
      <c r="B113" s="20" t="s">
        <v>110</v>
      </c>
      <c r="C113" s="20" t="s">
        <v>111</v>
      </c>
      <c r="D113" s="25" t="s">
        <v>112</v>
      </c>
      <c r="E113" s="20" t="s">
        <v>118</v>
      </c>
      <c r="F113" s="20" t="s">
        <v>113</v>
      </c>
      <c r="G113" s="19" t="s">
        <v>119</v>
      </c>
      <c r="H113" s="20" t="s">
        <v>115</v>
      </c>
      <c r="I113" s="20" t="s">
        <v>120</v>
      </c>
    </row>
    <row r="114" spans="1:9" x14ac:dyDescent="0.3">
      <c r="A114" s="23" t="s">
        <v>93</v>
      </c>
      <c r="B114" s="23" t="s">
        <v>110</v>
      </c>
      <c r="C114" s="23" t="s">
        <v>111</v>
      </c>
      <c r="D114" s="24" t="s">
        <v>112</v>
      </c>
      <c r="E114" s="23" t="s">
        <v>121</v>
      </c>
      <c r="F114" s="23" t="s">
        <v>113</v>
      </c>
      <c r="G114" s="23" t="s">
        <v>119</v>
      </c>
      <c r="H114" s="23" t="s">
        <v>115</v>
      </c>
      <c r="I114" s="23" t="s">
        <v>120</v>
      </c>
    </row>
    <row r="115" spans="1:9" x14ac:dyDescent="0.3">
      <c r="A115" s="20" t="s">
        <v>94</v>
      </c>
      <c r="B115" s="20" t="s">
        <v>110</v>
      </c>
      <c r="C115" s="20" t="s">
        <v>111</v>
      </c>
      <c r="D115" s="25" t="s">
        <v>112</v>
      </c>
      <c r="E115" s="20" t="s">
        <v>110</v>
      </c>
      <c r="F115" s="20" t="s">
        <v>113</v>
      </c>
      <c r="G115" s="19" t="s">
        <v>119</v>
      </c>
      <c r="H115" s="20" t="s">
        <v>115</v>
      </c>
      <c r="I115" s="20" t="s">
        <v>120</v>
      </c>
    </row>
    <row r="116" spans="1:9" x14ac:dyDescent="0.3">
      <c r="A116" s="23" t="s">
        <v>94</v>
      </c>
      <c r="B116" s="23" t="s">
        <v>110</v>
      </c>
      <c r="C116" s="23" t="s">
        <v>111</v>
      </c>
      <c r="D116" s="24" t="s">
        <v>112</v>
      </c>
      <c r="E116" s="23" t="s">
        <v>117</v>
      </c>
      <c r="F116" s="23" t="s">
        <v>113</v>
      </c>
      <c r="G116" s="23" t="s">
        <v>119</v>
      </c>
      <c r="H116" s="23" t="s">
        <v>115</v>
      </c>
      <c r="I116" s="23" t="s">
        <v>120</v>
      </c>
    </row>
    <row r="117" spans="1:9" x14ac:dyDescent="0.3">
      <c r="A117" s="20" t="s">
        <v>94</v>
      </c>
      <c r="B117" s="20" t="s">
        <v>110</v>
      </c>
      <c r="C117" s="20" t="s">
        <v>111</v>
      </c>
      <c r="D117" s="25" t="s">
        <v>112</v>
      </c>
      <c r="E117" s="20" t="s">
        <v>118</v>
      </c>
      <c r="F117" s="20" t="s">
        <v>113</v>
      </c>
      <c r="G117" s="19" t="s">
        <v>119</v>
      </c>
      <c r="H117" s="20" t="s">
        <v>115</v>
      </c>
      <c r="I117" s="20" t="s">
        <v>120</v>
      </c>
    </row>
    <row r="118" spans="1:9" x14ac:dyDescent="0.3">
      <c r="A118" s="23" t="s">
        <v>94</v>
      </c>
      <c r="B118" s="23" t="s">
        <v>110</v>
      </c>
      <c r="C118" s="23" t="s">
        <v>111</v>
      </c>
      <c r="D118" s="24" t="s">
        <v>112</v>
      </c>
      <c r="E118" s="23" t="s">
        <v>121</v>
      </c>
      <c r="F118" s="23" t="s">
        <v>113</v>
      </c>
      <c r="G118" s="23" t="s">
        <v>119</v>
      </c>
      <c r="H118" s="23" t="s">
        <v>115</v>
      </c>
      <c r="I118" s="23" t="s">
        <v>120</v>
      </c>
    </row>
    <row r="119" spans="1:9" x14ac:dyDescent="0.3">
      <c r="A119" s="20" t="s">
        <v>95</v>
      </c>
      <c r="B119" s="20" t="s">
        <v>110</v>
      </c>
      <c r="C119" s="20" t="s">
        <v>111</v>
      </c>
      <c r="D119" s="25" t="s">
        <v>112</v>
      </c>
      <c r="E119" s="20" t="s">
        <v>110</v>
      </c>
      <c r="F119" s="20" t="s">
        <v>113</v>
      </c>
      <c r="G119" s="19" t="s">
        <v>119</v>
      </c>
      <c r="H119" s="20" t="s">
        <v>115</v>
      </c>
      <c r="I119" s="20" t="s">
        <v>120</v>
      </c>
    </row>
    <row r="120" spans="1:9" x14ac:dyDescent="0.3">
      <c r="A120" s="23" t="s">
        <v>95</v>
      </c>
      <c r="B120" s="23" t="s">
        <v>110</v>
      </c>
      <c r="C120" s="23" t="s">
        <v>111</v>
      </c>
      <c r="D120" s="24" t="s">
        <v>112</v>
      </c>
      <c r="E120" s="23" t="s">
        <v>117</v>
      </c>
      <c r="F120" s="23" t="s">
        <v>113</v>
      </c>
      <c r="G120" s="23" t="s">
        <v>119</v>
      </c>
      <c r="H120" s="23" t="s">
        <v>115</v>
      </c>
      <c r="I120" s="23" t="s">
        <v>120</v>
      </c>
    </row>
    <row r="121" spans="1:9" x14ac:dyDescent="0.3">
      <c r="A121" s="20" t="s">
        <v>95</v>
      </c>
      <c r="B121" s="20" t="s">
        <v>110</v>
      </c>
      <c r="C121" s="20" t="s">
        <v>111</v>
      </c>
      <c r="D121" s="25" t="s">
        <v>112</v>
      </c>
      <c r="E121" s="20" t="s">
        <v>118</v>
      </c>
      <c r="F121" s="20" t="s">
        <v>113</v>
      </c>
      <c r="G121" s="19" t="s">
        <v>119</v>
      </c>
      <c r="H121" s="20" t="s">
        <v>115</v>
      </c>
      <c r="I121" s="20" t="s">
        <v>120</v>
      </c>
    </row>
    <row r="122" spans="1:9" x14ac:dyDescent="0.3">
      <c r="A122" s="23" t="s">
        <v>95</v>
      </c>
      <c r="B122" s="23" t="s">
        <v>110</v>
      </c>
      <c r="C122" s="23" t="s">
        <v>111</v>
      </c>
      <c r="D122" s="24" t="s">
        <v>112</v>
      </c>
      <c r="E122" s="23" t="s">
        <v>121</v>
      </c>
      <c r="F122" s="23" t="s">
        <v>113</v>
      </c>
      <c r="G122" s="23" t="s">
        <v>119</v>
      </c>
      <c r="H122" s="23" t="s">
        <v>115</v>
      </c>
      <c r="I122" s="23" t="s">
        <v>120</v>
      </c>
    </row>
    <row r="123" spans="1:9" x14ac:dyDescent="0.3">
      <c r="A123" s="20" t="s">
        <v>96</v>
      </c>
      <c r="B123" s="20" t="s">
        <v>110</v>
      </c>
      <c r="C123" s="20" t="s">
        <v>111</v>
      </c>
      <c r="D123" s="25" t="s">
        <v>112</v>
      </c>
      <c r="E123" s="20" t="s">
        <v>110</v>
      </c>
      <c r="F123" s="20" t="s">
        <v>113</v>
      </c>
      <c r="G123" s="19" t="s">
        <v>119</v>
      </c>
      <c r="H123" s="20" t="s">
        <v>115</v>
      </c>
      <c r="I123" s="20" t="s">
        <v>120</v>
      </c>
    </row>
    <row r="124" spans="1:9" x14ac:dyDescent="0.3">
      <c r="A124" s="23" t="s">
        <v>96</v>
      </c>
      <c r="B124" s="23" t="s">
        <v>110</v>
      </c>
      <c r="C124" s="23" t="s">
        <v>111</v>
      </c>
      <c r="D124" s="24" t="s">
        <v>112</v>
      </c>
      <c r="E124" s="23" t="s">
        <v>117</v>
      </c>
      <c r="F124" s="23" t="s">
        <v>113</v>
      </c>
      <c r="G124" s="23" t="s">
        <v>119</v>
      </c>
      <c r="H124" s="23" t="s">
        <v>115</v>
      </c>
      <c r="I124" s="23" t="s">
        <v>120</v>
      </c>
    </row>
    <row r="125" spans="1:9" x14ac:dyDescent="0.3">
      <c r="A125" s="20" t="s">
        <v>96</v>
      </c>
      <c r="B125" s="20" t="s">
        <v>110</v>
      </c>
      <c r="C125" s="20" t="s">
        <v>111</v>
      </c>
      <c r="D125" s="25" t="s">
        <v>112</v>
      </c>
      <c r="E125" s="20" t="s">
        <v>118</v>
      </c>
      <c r="F125" s="20" t="s">
        <v>113</v>
      </c>
      <c r="G125" s="19" t="s">
        <v>119</v>
      </c>
      <c r="H125" s="20" t="s">
        <v>115</v>
      </c>
      <c r="I125" s="20" t="s">
        <v>120</v>
      </c>
    </row>
    <row r="126" spans="1:9" x14ac:dyDescent="0.3">
      <c r="A126" s="23" t="s">
        <v>96</v>
      </c>
      <c r="B126" s="23" t="s">
        <v>110</v>
      </c>
      <c r="C126" s="23" t="s">
        <v>111</v>
      </c>
      <c r="D126" s="24" t="s">
        <v>112</v>
      </c>
      <c r="E126" s="23" t="s">
        <v>121</v>
      </c>
      <c r="F126" s="23" t="s">
        <v>113</v>
      </c>
      <c r="G126" s="23" t="s">
        <v>119</v>
      </c>
      <c r="H126" s="23" t="s">
        <v>115</v>
      </c>
      <c r="I126" s="23" t="s">
        <v>120</v>
      </c>
    </row>
    <row r="127" spans="1:9" x14ac:dyDescent="0.3">
      <c r="A127" s="20" t="s">
        <v>97</v>
      </c>
      <c r="B127" s="20" t="s">
        <v>110</v>
      </c>
      <c r="C127" s="20" t="s">
        <v>111</v>
      </c>
      <c r="D127" s="25" t="s">
        <v>112</v>
      </c>
      <c r="E127" s="20" t="s">
        <v>110</v>
      </c>
      <c r="F127" s="20" t="s">
        <v>113</v>
      </c>
      <c r="G127" s="19" t="s">
        <v>119</v>
      </c>
      <c r="H127" s="20" t="s">
        <v>115</v>
      </c>
      <c r="I127" s="20" t="s">
        <v>120</v>
      </c>
    </row>
    <row r="128" spans="1:9" x14ac:dyDescent="0.3">
      <c r="A128" s="23" t="s">
        <v>97</v>
      </c>
      <c r="B128" s="23" t="s">
        <v>110</v>
      </c>
      <c r="C128" s="23" t="s">
        <v>111</v>
      </c>
      <c r="D128" s="24" t="s">
        <v>112</v>
      </c>
      <c r="E128" s="23" t="s">
        <v>117</v>
      </c>
      <c r="F128" s="23" t="s">
        <v>113</v>
      </c>
      <c r="G128" s="23" t="s">
        <v>119</v>
      </c>
      <c r="H128" s="23" t="s">
        <v>115</v>
      </c>
      <c r="I128" s="23" t="s">
        <v>120</v>
      </c>
    </row>
    <row r="129" spans="1:9" x14ac:dyDescent="0.3">
      <c r="A129" s="20" t="s">
        <v>97</v>
      </c>
      <c r="B129" s="20" t="s">
        <v>110</v>
      </c>
      <c r="C129" s="20" t="s">
        <v>111</v>
      </c>
      <c r="D129" s="25" t="s">
        <v>112</v>
      </c>
      <c r="E129" s="20" t="s">
        <v>118</v>
      </c>
      <c r="F129" s="20" t="s">
        <v>113</v>
      </c>
      <c r="G129" s="19" t="s">
        <v>119</v>
      </c>
      <c r="H129" s="20" t="s">
        <v>115</v>
      </c>
      <c r="I129" s="20" t="s">
        <v>120</v>
      </c>
    </row>
    <row r="130" spans="1:9" x14ac:dyDescent="0.3">
      <c r="A130" s="23" t="s">
        <v>97</v>
      </c>
      <c r="B130" s="23" t="s">
        <v>110</v>
      </c>
      <c r="C130" s="23" t="s">
        <v>111</v>
      </c>
      <c r="D130" s="24" t="s">
        <v>112</v>
      </c>
      <c r="E130" s="23" t="s">
        <v>121</v>
      </c>
      <c r="F130" s="23" t="s">
        <v>113</v>
      </c>
      <c r="G130" s="23" t="s">
        <v>119</v>
      </c>
      <c r="H130" s="23" t="s">
        <v>115</v>
      </c>
      <c r="I130" s="23" t="s">
        <v>120</v>
      </c>
    </row>
    <row r="131" spans="1:9" x14ac:dyDescent="0.3">
      <c r="A131" s="20" t="s">
        <v>98</v>
      </c>
      <c r="B131" s="20" t="s">
        <v>110</v>
      </c>
      <c r="C131" s="20" t="s">
        <v>111</v>
      </c>
      <c r="D131" s="25" t="s">
        <v>112</v>
      </c>
      <c r="E131" s="20" t="s">
        <v>110</v>
      </c>
      <c r="F131" s="20" t="s">
        <v>113</v>
      </c>
      <c r="G131" s="19" t="s">
        <v>119</v>
      </c>
      <c r="H131" s="20" t="s">
        <v>115</v>
      </c>
      <c r="I131" s="20" t="s">
        <v>120</v>
      </c>
    </row>
    <row r="132" spans="1:9" x14ac:dyDescent="0.3">
      <c r="A132" s="23" t="s">
        <v>98</v>
      </c>
      <c r="B132" s="23" t="s">
        <v>110</v>
      </c>
      <c r="C132" s="23" t="s">
        <v>111</v>
      </c>
      <c r="D132" s="24" t="s">
        <v>112</v>
      </c>
      <c r="E132" s="23" t="s">
        <v>117</v>
      </c>
      <c r="F132" s="23" t="s">
        <v>113</v>
      </c>
      <c r="G132" s="23" t="s">
        <v>119</v>
      </c>
      <c r="H132" s="23" t="s">
        <v>115</v>
      </c>
      <c r="I132" s="23" t="s">
        <v>120</v>
      </c>
    </row>
    <row r="133" spans="1:9" x14ac:dyDescent="0.3">
      <c r="A133" s="20" t="s">
        <v>98</v>
      </c>
      <c r="B133" s="20" t="s">
        <v>110</v>
      </c>
      <c r="C133" s="20" t="s">
        <v>111</v>
      </c>
      <c r="D133" s="25" t="s">
        <v>112</v>
      </c>
      <c r="E133" s="20" t="s">
        <v>118</v>
      </c>
      <c r="F133" s="20" t="s">
        <v>113</v>
      </c>
      <c r="G133" s="19" t="s">
        <v>119</v>
      </c>
      <c r="H133" s="20" t="s">
        <v>115</v>
      </c>
      <c r="I133" s="20" t="s">
        <v>120</v>
      </c>
    </row>
    <row r="134" spans="1:9" x14ac:dyDescent="0.3">
      <c r="A134" s="23" t="s">
        <v>98</v>
      </c>
      <c r="B134" s="23" t="s">
        <v>110</v>
      </c>
      <c r="C134" s="23" t="s">
        <v>111</v>
      </c>
      <c r="D134" s="24" t="s">
        <v>112</v>
      </c>
      <c r="E134" s="23" t="s">
        <v>121</v>
      </c>
      <c r="F134" s="23" t="s">
        <v>113</v>
      </c>
      <c r="G134" s="23" t="s">
        <v>119</v>
      </c>
      <c r="H134" s="23" t="s">
        <v>115</v>
      </c>
      <c r="I134" s="2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2024-03-20T06:03:36Z</dcterms:modified>
</cp:coreProperties>
</file>